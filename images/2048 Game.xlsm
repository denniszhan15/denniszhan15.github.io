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26215" codeName="{EAAD5824-E589-9196-6FC8-2F1B51211585}"/>
  <workbookPr codeName="ThisWorkbook"/>
  <mc:AlternateContent xmlns:mc="http://schemas.openxmlformats.org/markup-compatibility/2006">
    <mc:Choice Requires="x15">
      <x15ac:absPath xmlns:x15ac="http://schemas.microsoft.com/office/spreadsheetml/2010/11/ac" url="/Users/sanveerdhanju/Documents/GitHub/my-site/assets/2048/"/>
    </mc:Choice>
  </mc:AlternateContent>
  <bookViews>
    <workbookView showHorizontalScroll="0" showVerticalScroll="0" showSheetTabs="0" xWindow="0" yWindow="460" windowWidth="19200" windowHeight="6360"/>
  </bookViews>
  <sheets>
    <sheet name="Menu" sheetId="8" r:id="rId1"/>
    <sheet name="Board" sheetId="1" r:id="rId2"/>
    <sheet name="Win" sheetId="3" r:id="rId3"/>
    <sheet name="Lose" sheetId="4" r:id="rId4"/>
    <sheet name="Leaderboards" sheetId="5" r:id="rId5"/>
    <sheet name="Helper1" sheetId="6" r:id="rId6"/>
    <sheet name="Helper2" sheetId="7" r:id="rId7"/>
  </sheets>
  <definedNames>
    <definedName name="numFreeTiles">Helper1!$C$19</definedName>
    <definedName name="numUndos">Helper1!$E$19</definedName>
  </definedNames>
  <calcPr calcId="171027" concurrentCalc="0"/>
  <fileRecoveryPr autoRecover="0"/>
  <extLs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B60" i="7" l="1"/>
  <c r="B61" i="7"/>
  <c r="K59" i="7"/>
  <c r="J59" i="7"/>
  <c r="I59" i="7"/>
  <c r="H59" i="7"/>
  <c r="B46" i="7"/>
  <c r="B47" i="7"/>
  <c r="K45" i="7"/>
  <c r="J45" i="7"/>
  <c r="I45" i="7"/>
  <c r="H45" i="7"/>
  <c r="I32" i="7"/>
  <c r="H32" i="7"/>
  <c r="B32" i="7"/>
  <c r="B33" i="7"/>
  <c r="K31" i="7"/>
  <c r="J31" i="7"/>
  <c r="I31" i="7"/>
  <c r="H31" i="7"/>
  <c r="B18" i="7"/>
  <c r="J18" i="7"/>
  <c r="K17" i="7"/>
  <c r="J17" i="7"/>
  <c r="I17" i="7"/>
  <c r="H17" i="7"/>
  <c r="I60" i="7"/>
  <c r="J60" i="7"/>
  <c r="K61" i="7"/>
  <c r="J61" i="7"/>
  <c r="I61" i="7"/>
  <c r="B62" i="7"/>
  <c r="H61" i="7"/>
  <c r="K60" i="7"/>
  <c r="H60" i="7"/>
  <c r="K47" i="7"/>
  <c r="J47" i="7"/>
  <c r="I47" i="7"/>
  <c r="B48" i="7"/>
  <c r="H47" i="7"/>
  <c r="I46" i="7"/>
  <c r="J46" i="7"/>
  <c r="K46" i="7"/>
  <c r="H46" i="7"/>
  <c r="K33" i="7"/>
  <c r="J33" i="7"/>
  <c r="H33" i="7"/>
  <c r="I33" i="7"/>
  <c r="B34" i="7"/>
  <c r="J32" i="7"/>
  <c r="K32" i="7"/>
  <c r="K18" i="7"/>
  <c r="H18" i="7"/>
  <c r="B19" i="7"/>
  <c r="I18" i="7"/>
  <c r="H4" i="7"/>
  <c r="I4" i="7"/>
  <c r="J4" i="7"/>
  <c r="K4" i="7"/>
  <c r="H5" i="7"/>
  <c r="I5" i="7"/>
  <c r="J5" i="7"/>
  <c r="K5" i="7"/>
  <c r="H6" i="7"/>
  <c r="I6" i="7"/>
  <c r="J6" i="7"/>
  <c r="K6" i="7"/>
  <c r="H7" i="7"/>
  <c r="I7" i="7"/>
  <c r="J7" i="7"/>
  <c r="K7" i="7"/>
  <c r="H8" i="7"/>
  <c r="I8" i="7"/>
  <c r="J8" i="7"/>
  <c r="K8" i="7"/>
  <c r="H9" i="7"/>
  <c r="I9" i="7"/>
  <c r="J9" i="7"/>
  <c r="K9" i="7"/>
  <c r="H10" i="7"/>
  <c r="I10" i="7"/>
  <c r="J10" i="7"/>
  <c r="K10" i="7"/>
  <c r="H11" i="7"/>
  <c r="I11" i="7"/>
  <c r="J11" i="7"/>
  <c r="K11" i="7"/>
  <c r="H12" i="7"/>
  <c r="I12" i="7"/>
  <c r="J12" i="7"/>
  <c r="K12" i="7"/>
  <c r="H13" i="7"/>
  <c r="I13" i="7"/>
  <c r="J13" i="7"/>
  <c r="K13" i="7"/>
  <c r="I3" i="7"/>
  <c r="J3" i="7"/>
  <c r="K3" i="7"/>
  <c r="H3" i="7"/>
  <c r="B4" i="7"/>
  <c r="B5" i="7"/>
  <c r="B6" i="7"/>
  <c r="B7" i="7"/>
  <c r="B8" i="7"/>
  <c r="B9" i="7"/>
  <c r="B10" i="7"/>
  <c r="B11" i="7"/>
  <c r="B12" i="7"/>
  <c r="B13" i="7"/>
  <c r="J62" i="7"/>
  <c r="I62" i="7"/>
  <c r="B63" i="7"/>
  <c r="H62" i="7"/>
  <c r="K62" i="7"/>
  <c r="J48" i="7"/>
  <c r="I48" i="7"/>
  <c r="B49" i="7"/>
  <c r="H48" i="7"/>
  <c r="K48" i="7"/>
  <c r="J34" i="7"/>
  <c r="K34" i="7"/>
  <c r="I34" i="7"/>
  <c r="B35" i="7"/>
  <c r="H34" i="7"/>
  <c r="I19" i="7"/>
  <c r="B20" i="7"/>
  <c r="H19" i="7"/>
  <c r="K19" i="7"/>
  <c r="J19" i="7"/>
  <c r="H14" i="7"/>
  <c r="K14" i="7"/>
  <c r="J14" i="7"/>
  <c r="I14" i="7"/>
  <c r="J3" i="6"/>
  <c r="N3" i="6"/>
  <c r="I3" i="6"/>
  <c r="M3" i="6"/>
  <c r="H3" i="6"/>
  <c r="H4" i="6"/>
  <c r="H5" i="6"/>
  <c r="H6" i="6"/>
  <c r="H7" i="6"/>
  <c r="H8" i="6"/>
  <c r="G3" i="6"/>
  <c r="K3" i="6"/>
  <c r="I63" i="7"/>
  <c r="B64" i="7"/>
  <c r="H63" i="7"/>
  <c r="K63" i="7"/>
  <c r="J63" i="7"/>
  <c r="I49" i="7"/>
  <c r="B50" i="7"/>
  <c r="H49" i="7"/>
  <c r="K49" i="7"/>
  <c r="J49" i="7"/>
  <c r="I35" i="7"/>
  <c r="B36" i="7"/>
  <c r="H35" i="7"/>
  <c r="J35" i="7"/>
  <c r="K35" i="7"/>
  <c r="I20" i="7"/>
  <c r="B21" i="7"/>
  <c r="H20" i="7"/>
  <c r="K20" i="7"/>
  <c r="J20" i="7"/>
  <c r="J4" i="6"/>
  <c r="N4" i="6"/>
  <c r="L3" i="6"/>
  <c r="L4" i="6"/>
  <c r="L5" i="6"/>
  <c r="G4" i="6"/>
  <c r="I4" i="6"/>
  <c r="M4" i="6"/>
  <c r="B4" i="6"/>
  <c r="B5" i="6"/>
  <c r="B6" i="6"/>
  <c r="B7" i="6"/>
  <c r="B8" i="6"/>
  <c r="B9" i="6"/>
  <c r="B10" i="6"/>
  <c r="B11" i="6"/>
  <c r="B12" i="6"/>
  <c r="B13" i="6"/>
  <c r="K4" i="6"/>
  <c r="G5" i="6"/>
  <c r="G6" i="6"/>
  <c r="G7" i="6"/>
  <c r="G8" i="6"/>
  <c r="B65" i="7"/>
  <c r="H64" i="7"/>
  <c r="K64" i="7"/>
  <c r="J64" i="7"/>
  <c r="I64" i="7"/>
  <c r="B51" i="7"/>
  <c r="H50" i="7"/>
  <c r="K50" i="7"/>
  <c r="J50" i="7"/>
  <c r="I50" i="7"/>
  <c r="B37" i="7"/>
  <c r="H36" i="7"/>
  <c r="K36" i="7"/>
  <c r="J36" i="7"/>
  <c r="I36" i="7"/>
  <c r="K21" i="7"/>
  <c r="J21" i="7"/>
  <c r="I21" i="7"/>
  <c r="B22" i="7"/>
  <c r="H21" i="7"/>
  <c r="J5" i="6"/>
  <c r="N5" i="6"/>
  <c r="I5" i="6"/>
  <c r="M5" i="6"/>
  <c r="L6" i="6"/>
  <c r="L7" i="6"/>
  <c r="L11" i="4"/>
  <c r="L11" i="3"/>
  <c r="K5" i="6"/>
  <c r="K65" i="7"/>
  <c r="J65" i="7"/>
  <c r="I65" i="7"/>
  <c r="B66" i="7"/>
  <c r="H65" i="7"/>
  <c r="K51" i="7"/>
  <c r="J51" i="7"/>
  <c r="I51" i="7"/>
  <c r="B52" i="7"/>
  <c r="H51" i="7"/>
  <c r="K37" i="7"/>
  <c r="J37" i="7"/>
  <c r="B38" i="7"/>
  <c r="H37" i="7"/>
  <c r="I37" i="7"/>
  <c r="J22" i="7"/>
  <c r="I22" i="7"/>
  <c r="B23" i="7"/>
  <c r="H22" i="7"/>
  <c r="K22" i="7"/>
  <c r="I6" i="6"/>
  <c r="I7" i="6"/>
  <c r="I8" i="6"/>
  <c r="I9" i="6"/>
  <c r="I10" i="6"/>
  <c r="I11" i="6"/>
  <c r="I12" i="6"/>
  <c r="I13" i="6"/>
  <c r="J6" i="6"/>
  <c r="N6" i="6"/>
  <c r="G9" i="6"/>
  <c r="G11" i="6"/>
  <c r="G12" i="6"/>
  <c r="G13" i="6"/>
  <c r="L8" i="6"/>
  <c r="H9" i="6"/>
  <c r="H10" i="6"/>
  <c r="H11" i="6"/>
  <c r="H12" i="6"/>
  <c r="H13" i="6"/>
  <c r="G11" i="1"/>
  <c r="J66" i="7"/>
  <c r="I66" i="7"/>
  <c r="B67" i="7"/>
  <c r="H66" i="7"/>
  <c r="K66" i="7"/>
  <c r="J52" i="7"/>
  <c r="I52" i="7"/>
  <c r="B53" i="7"/>
  <c r="H52" i="7"/>
  <c r="K52" i="7"/>
  <c r="J38" i="7"/>
  <c r="I38" i="7"/>
  <c r="B39" i="7"/>
  <c r="H38" i="7"/>
  <c r="K38" i="7"/>
  <c r="I23" i="7"/>
  <c r="B24" i="7"/>
  <c r="H23" i="7"/>
  <c r="K23" i="7"/>
  <c r="J23" i="7"/>
  <c r="J7" i="6"/>
  <c r="J8" i="6"/>
  <c r="K6" i="6"/>
  <c r="K7" i="6"/>
  <c r="K8" i="6"/>
  <c r="K9" i="6"/>
  <c r="K10" i="6"/>
  <c r="K11" i="6"/>
  <c r="K12" i="6"/>
  <c r="K13" i="6"/>
  <c r="M6" i="6"/>
  <c r="M7" i="6"/>
  <c r="M8" i="6"/>
  <c r="M9" i="6"/>
  <c r="M10" i="6"/>
  <c r="M11" i="6"/>
  <c r="M12" i="6"/>
  <c r="M13" i="6"/>
  <c r="L9" i="6"/>
  <c r="L10" i="6"/>
  <c r="L11" i="6"/>
  <c r="L12" i="6"/>
  <c r="L13" i="6"/>
  <c r="L10" i="3"/>
  <c r="L10" i="4"/>
  <c r="I67" i="7"/>
  <c r="B68" i="7"/>
  <c r="H67" i="7"/>
  <c r="K67" i="7"/>
  <c r="J67" i="7"/>
  <c r="I53" i="7"/>
  <c r="B54" i="7"/>
  <c r="H53" i="7"/>
  <c r="K53" i="7"/>
  <c r="J53" i="7"/>
  <c r="I39" i="7"/>
  <c r="B40" i="7"/>
  <c r="H39" i="7"/>
  <c r="J39" i="7"/>
  <c r="K39" i="7"/>
  <c r="B25" i="7"/>
  <c r="H24" i="7"/>
  <c r="K24" i="7"/>
  <c r="J24" i="7"/>
  <c r="I24" i="7"/>
  <c r="N7" i="6"/>
  <c r="N8" i="6"/>
  <c r="J9" i="6"/>
  <c r="J10" i="6"/>
  <c r="B69" i="7"/>
  <c r="H68" i="7"/>
  <c r="K68" i="7"/>
  <c r="J68" i="7"/>
  <c r="I68" i="7"/>
  <c r="B55" i="7"/>
  <c r="H54" i="7"/>
  <c r="K54" i="7"/>
  <c r="J54" i="7"/>
  <c r="I54" i="7"/>
  <c r="B41" i="7"/>
  <c r="H40" i="7"/>
  <c r="K40" i="7"/>
  <c r="I40" i="7"/>
  <c r="J40" i="7"/>
  <c r="K25" i="7"/>
  <c r="J25" i="7"/>
  <c r="I25" i="7"/>
  <c r="B26" i="7"/>
  <c r="H25" i="7"/>
  <c r="N9" i="6"/>
  <c r="N10" i="6"/>
  <c r="J11" i="6"/>
  <c r="K69" i="7"/>
  <c r="K70" i="7"/>
  <c r="E75" i="7"/>
  <c r="J69" i="7"/>
  <c r="J70" i="7"/>
  <c r="D75" i="7"/>
  <c r="I69" i="7"/>
  <c r="I70" i="7"/>
  <c r="C75" i="7"/>
  <c r="H69" i="7"/>
  <c r="H70" i="7"/>
  <c r="B75" i="7"/>
  <c r="K55" i="7"/>
  <c r="K56" i="7"/>
  <c r="E74" i="7"/>
  <c r="J55" i="7"/>
  <c r="J56" i="7"/>
  <c r="D74" i="7"/>
  <c r="I55" i="7"/>
  <c r="I56" i="7"/>
  <c r="C74" i="7"/>
  <c r="H55" i="7"/>
  <c r="H56" i="7"/>
  <c r="B74" i="7"/>
  <c r="K41" i="7"/>
  <c r="K42" i="7"/>
  <c r="E73" i="7"/>
  <c r="J41" i="7"/>
  <c r="J42" i="7"/>
  <c r="D73" i="7"/>
  <c r="H41" i="7"/>
  <c r="H42" i="7"/>
  <c r="B73" i="7"/>
  <c r="I41" i="7"/>
  <c r="I42" i="7"/>
  <c r="C73" i="7"/>
  <c r="J26" i="7"/>
  <c r="I26" i="7"/>
  <c r="B27" i="7"/>
  <c r="H26" i="7"/>
  <c r="K26" i="7"/>
  <c r="J12" i="6"/>
  <c r="N11" i="6"/>
  <c r="I27" i="7"/>
  <c r="I28" i="7"/>
  <c r="C72" i="7"/>
  <c r="H27" i="7"/>
  <c r="H28" i="7"/>
  <c r="B72" i="7"/>
  <c r="K27" i="7"/>
  <c r="K28" i="7"/>
  <c r="E72" i="7"/>
  <c r="J27" i="7"/>
  <c r="J28" i="7"/>
  <c r="D72" i="7"/>
  <c r="J13" i="6"/>
  <c r="N12" i="6"/>
  <c r="N13" i="6"/>
  <c r="O3" i="6"/>
</calcChain>
</file>

<file path=xl/sharedStrings.xml><?xml version="1.0" encoding="utf-8"?>
<sst xmlns="http://schemas.openxmlformats.org/spreadsheetml/2006/main" count="101" uniqueCount="42">
  <si>
    <t>Number of Moves</t>
  </si>
  <si>
    <t>High Score</t>
  </si>
  <si>
    <t>Final Score</t>
  </si>
  <si>
    <t>Number of moves</t>
  </si>
  <si>
    <t>Name</t>
  </si>
  <si>
    <t>Score</t>
  </si>
  <si>
    <t>value</t>
  </si>
  <si>
    <t>right_count</t>
  </si>
  <si>
    <t>left_count</t>
  </si>
  <si>
    <t>down_count</t>
  </si>
  <si>
    <t>up_count</t>
  </si>
  <si>
    <t>best_move</t>
  </si>
  <si>
    <t>right_max</t>
  </si>
  <si>
    <t>left_max</t>
  </si>
  <si>
    <t>down_max</t>
  </si>
  <si>
    <t>up_max</t>
  </si>
  <si>
    <t>right_total</t>
  </si>
  <si>
    <t>left_total</t>
  </si>
  <si>
    <t>down_total</t>
  </si>
  <si>
    <t>up_total</t>
  </si>
  <si>
    <t>current_count</t>
  </si>
  <si>
    <t>current</t>
  </si>
  <si>
    <t>all_right</t>
  </si>
  <si>
    <t>all_left</t>
  </si>
  <si>
    <t>all_down</t>
  </si>
  <si>
    <t>all_up</t>
  </si>
  <si>
    <t>right</t>
  </si>
  <si>
    <t>left</t>
  </si>
  <si>
    <t>down</t>
  </si>
  <si>
    <t>up</t>
  </si>
  <si>
    <t>numFreeTiles</t>
  </si>
  <si>
    <t>numUndos</t>
  </si>
  <si>
    <t>Block</t>
  </si>
  <si>
    <t>Remaining</t>
  </si>
  <si>
    <t>countUndos</t>
  </si>
  <si>
    <t>Difficulty</t>
  </si>
  <si>
    <t>Easy</t>
  </si>
  <si>
    <t>Sanveer</t>
  </si>
  <si>
    <t>Dennis</t>
  </si>
  <si>
    <t>Nikolai</t>
  </si>
  <si>
    <t>Classic</t>
  </si>
  <si>
    <t>No</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</si>
</sst>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sz val="11"/>
      <color rgb="FF000000"/>
      <name val="Calibri"/>
      <family val="2"/>
    </font>
    <font>
      <sz val="11"/>
      <color theme="0"/>
      <name val="Calibri"/>
      <family val="2"/>
      <scheme val="minor"/>
    </font>
    <font>
      <b/>
      <sz val="36"/>
      <color theme="1"/>
      <name val="Calibri"/>
      <family val="2"/>
      <scheme val="minor"/>
    </font>
    <font>
      <sz val="24"/>
      <color theme="1"/>
      <name val="Calibri"/>
      <family val="2"/>
      <scheme val="minor"/>
    </font>
    <font>
      <b/>
      <sz val="72"/>
      <color theme="1"/>
      <name val="Calibri"/>
      <family val="2"/>
      <scheme val="minor"/>
    </font>
    <font>
      <sz val="11"/>
      <color rgb="FFFF0000"/>
      <name val="Calibri"/>
      <family val="2"/>
      <scheme val="minor"/>
    </font>
    <font>
      <b/>
      <sz val="14"/>
      <color theme="1"/>
      <name val="Calibri"/>
      <family val="2"/>
      <scheme val="minor"/>
    </font>
    <font>
      <b/>
      <sz val="18"/>
      <color theme="1"/>
      <name val="Calibri"/>
      <family val="2"/>
      <scheme val="minor"/>
    </font>
    <font>
      <b/>
      <sz val="22"/>
      <color theme="1"/>
      <name val="Calibri"/>
      <family val="2"/>
      <scheme val="minor"/>
    </font>
    <font>
      <b/>
      <sz val="36"/>
      <color rgb="FFFF0000"/>
      <name val="Calibri"/>
      <family val="2"/>
      <scheme val="minor"/>
    </font>
    <font>
      <sz val="48"/>
      <color theme="1"/>
      <name val="Calibri"/>
      <family val="2"/>
      <scheme val="minor"/>
    </font>
    <font>
      <sz val="11"/>
      <color theme="4" tint="-0.499984740745262"/>
      <name val="Calibri"/>
      <family val="2"/>
      <scheme val="minor"/>
    </font>
    <font>
      <sz val="22"/>
      <name val="Calibri"/>
      <family val="2"/>
      <scheme val="minor"/>
    </font>
    <font>
      <sz val="14"/>
      <name val="Calibri"/>
      <family val="2"/>
      <scheme val="minor"/>
    </font>
    <font>
      <b/>
      <sz val="14"/>
      <name val="Calibri"/>
      <family val="2"/>
      <scheme val="minor"/>
    </font>
    <font>
      <b/>
      <sz val="11"/>
      <color theme="1"/>
      <name val="Calibri"/>
      <family val="2"/>
      <scheme val="minor"/>
    </font>
    <font>
      <b/>
      <sz val="26"/>
      <name val="Calibri"/>
      <family val="2"/>
      <scheme val="minor"/>
    </font>
    <font>
      <sz val="11"/>
      <name val="Calibri"/>
      <family val="2"/>
      <scheme val="minor"/>
    </font>
    <font>
      <b/>
      <sz val="18"/>
      <name val="Calibri"/>
      <family val="2"/>
      <scheme val="minor"/>
    </font>
  </fonts>
  <fills count="7">
    <fill>
      <patternFill patternType="none"/>
    </fill>
    <fill>
      <patternFill patternType="gray125"/>
    </fill>
    <fill>
      <patternFill patternType="solid">
        <fgColor theme="7" tint="0.59999389629810485"/>
        <bgColor indexed="64"/>
      </patternFill>
    </fill>
    <fill>
      <patternFill patternType="solid">
        <fgColor indexed="43"/>
        <bgColor indexed="64"/>
      </patternFill>
    </fill>
    <fill>
      <patternFill patternType="solid">
        <fgColor theme="7" tint="0.79998168889431442"/>
        <bgColor indexed="64"/>
      </patternFill>
    </fill>
    <fill>
      <patternFill patternType="solid">
        <fgColor indexed="27"/>
        <bgColor indexed="64"/>
      </patternFill>
    </fill>
    <fill>
      <patternFill patternType="solid">
        <fgColor theme="4" tint="0.79998168889431442"/>
        <bgColor indexed="64"/>
      </patternFill>
    </fill>
  </fills>
  <borders count="23">
    <border>
      <left/>
      <right/>
      <top/>
      <bottom/>
      <diagonal/>
    </border>
    <border>
      <left style="thin">
        <color auto="1"/>
      </left>
      <right style="thin">
        <color auto="1"/>
      </right>
      <top style="thin">
        <color auto="1"/>
      </top>
      <bottom style="thin">
        <color auto="1"/>
      </bottom>
      <diagonal/>
    </border>
    <border>
      <left style="thick">
        <color indexed="8"/>
      </left>
      <right style="thin">
        <color auto="1"/>
      </right>
      <top style="thick">
        <color indexed="8"/>
      </top>
      <bottom style="thin">
        <color auto="1"/>
      </bottom>
      <diagonal/>
    </border>
    <border>
      <left style="thin">
        <color auto="1"/>
      </left>
      <right style="thin">
        <color auto="1"/>
      </right>
      <top style="thick">
        <color indexed="8"/>
      </top>
      <bottom style="thin">
        <color auto="1"/>
      </bottom>
      <diagonal/>
    </border>
    <border>
      <left style="thin">
        <color auto="1"/>
      </left>
      <right style="thick">
        <color indexed="8"/>
      </right>
      <top style="thick">
        <color indexed="8"/>
      </top>
      <bottom style="thin">
        <color auto="1"/>
      </bottom>
      <diagonal/>
    </border>
    <border>
      <left style="thick">
        <color indexed="8"/>
      </left>
      <right style="thin">
        <color auto="1"/>
      </right>
      <top style="thin">
        <color auto="1"/>
      </top>
      <bottom style="thin">
        <color auto="1"/>
      </bottom>
      <diagonal/>
    </border>
    <border>
      <left style="thin">
        <color auto="1"/>
      </left>
      <right style="thick">
        <color indexed="8"/>
      </right>
      <top style="thin">
        <color auto="1"/>
      </top>
      <bottom style="thin">
        <color auto="1"/>
      </bottom>
      <diagonal/>
    </border>
    <border>
      <left style="thick">
        <color indexed="8"/>
      </left>
      <right style="thin">
        <color auto="1"/>
      </right>
      <top style="thin">
        <color auto="1"/>
      </top>
      <bottom style="thick">
        <color indexed="8"/>
      </bottom>
      <diagonal/>
    </border>
    <border>
      <left style="thin">
        <color auto="1"/>
      </left>
      <right style="thin">
        <color auto="1"/>
      </right>
      <top style="thin">
        <color auto="1"/>
      </top>
      <bottom style="thick">
        <color indexed="8"/>
      </bottom>
      <diagonal/>
    </border>
    <border>
      <left style="thin">
        <color auto="1"/>
      </left>
      <right style="thick">
        <color indexed="8"/>
      </right>
      <top style="thin">
        <color auto="1"/>
      </top>
      <bottom style="thick">
        <color indexed="8"/>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double">
        <color auto="1"/>
      </bottom>
      <diagonal/>
    </border>
    <border>
      <left/>
      <right style="thin">
        <color auto="1"/>
      </right>
      <top/>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diagonal/>
    </border>
  </borders>
  <cellStyleXfs count="1">
    <xf numFmtId="0" fontId="0" fillId="0" borderId="0"/>
  </cellStyleXfs>
  <cellXfs count="55">
    <xf numFmtId="0" fontId="0" fillId="0" borderId="0" xfId="0"/>
    <xf numFmtId="0" fontId="0" fillId="2" borderId="0" xfId="0" applyFill="1"/>
    <xf numFmtId="0" fontId="2" fillId="2" borderId="0" xfId="0" applyFont="1" applyFill="1" applyBorder="1"/>
    <xf numFmtId="0" fontId="5" fillId="2" borderId="0" xfId="0" applyFont="1" applyFill="1"/>
    <xf numFmtId="0" fontId="2" fillId="4" borderId="0" xfId="0" applyFont="1" applyFill="1" applyBorder="1"/>
    <xf numFmtId="0" fontId="2" fillId="4" borderId="10" xfId="0" applyFont="1" applyFill="1" applyBorder="1"/>
    <xf numFmtId="0" fontId="2" fillId="4" borderId="11" xfId="0" applyFont="1" applyFill="1" applyBorder="1"/>
    <xf numFmtId="0" fontId="2" fillId="4" borderId="13" xfId="0" applyFont="1" applyFill="1" applyBorder="1"/>
    <xf numFmtId="0" fontId="2" fillId="4" borderId="15" xfId="0" applyFont="1" applyFill="1" applyBorder="1"/>
    <xf numFmtId="0" fontId="2" fillId="4" borderId="16" xfId="0" applyFont="1" applyFill="1" applyBorder="1"/>
    <xf numFmtId="0" fontId="0" fillId="4" borderId="0" xfId="0" applyFill="1" applyBorder="1"/>
    <xf numFmtId="0" fontId="3" fillId="4" borderId="0" xfId="0" applyFont="1" applyFill="1"/>
    <xf numFmtId="0" fontId="0" fillId="4" borderId="0" xfId="0" applyFill="1"/>
    <xf numFmtId="0" fontId="8" fillId="4" borderId="18" xfId="0" applyFont="1" applyFill="1" applyBorder="1"/>
    <xf numFmtId="0" fontId="8" fillId="4" borderId="20" xfId="0" applyFont="1" applyFill="1" applyBorder="1"/>
    <xf numFmtId="0" fontId="13" fillId="2" borderId="0" xfId="0" applyFont="1" applyFill="1" applyBorder="1"/>
    <xf numFmtId="0" fontId="4" fillId="3" borderId="1"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3" xfId="0" applyFont="1" applyFill="1" applyBorder="1" applyAlignment="1">
      <alignment horizontal="center" vertical="center"/>
    </xf>
    <xf numFmtId="0" fontId="8" fillId="4" borderId="21" xfId="0" applyFont="1" applyFill="1" applyBorder="1"/>
    <xf numFmtId="0" fontId="7" fillId="4" borderId="19" xfId="0" applyFont="1" applyFill="1" applyBorder="1" applyAlignment="1">
      <alignment horizontal="center"/>
    </xf>
    <xf numFmtId="0" fontId="0" fillId="4" borderId="0" xfId="0" applyFill="1" applyAlignment="1">
      <alignment horizontal="center"/>
    </xf>
    <xf numFmtId="0" fontId="7" fillId="4" borderId="22" xfId="0" applyFont="1" applyFill="1" applyBorder="1" applyAlignment="1">
      <alignment horizontal="center"/>
    </xf>
    <xf numFmtId="0" fontId="0" fillId="2" borderId="0" xfId="0" applyFill="1" applyBorder="1"/>
    <xf numFmtId="0" fontId="9" fillId="2" borderId="0" xfId="0" applyFont="1" applyFill="1" applyBorder="1"/>
    <xf numFmtId="0" fontId="14" fillId="4" borderId="11" xfId="0" applyFont="1" applyFill="1" applyBorder="1" applyAlignment="1">
      <alignment horizontal="center" vertical="center"/>
    </xf>
    <xf numFmtId="0" fontId="14" fillId="4" borderId="12" xfId="0" applyFont="1" applyFill="1" applyBorder="1" applyAlignment="1">
      <alignment horizontal="center" vertical="center"/>
    </xf>
    <xf numFmtId="0" fontId="14" fillId="4" borderId="16" xfId="0" applyFont="1" applyFill="1" applyBorder="1" applyAlignment="1">
      <alignment horizontal="center" vertical="center"/>
    </xf>
    <xf numFmtId="0" fontId="14" fillId="4" borderId="17" xfId="0" applyFont="1" applyFill="1" applyBorder="1" applyAlignment="1">
      <alignment horizontal="center" vertical="center"/>
    </xf>
    <xf numFmtId="0" fontId="15" fillId="4" borderId="0" xfId="0" applyFont="1" applyFill="1" applyBorder="1" applyAlignment="1">
      <alignment horizontal="center" vertical="center"/>
    </xf>
    <xf numFmtId="0" fontId="15" fillId="4" borderId="14" xfId="0" applyFont="1" applyFill="1" applyBorder="1" applyAlignment="1">
      <alignment horizontal="center" vertical="center"/>
    </xf>
    <xf numFmtId="0" fontId="5" fillId="4" borderId="0" xfId="0" applyFont="1" applyFill="1"/>
    <xf numFmtId="0" fontId="4" fillId="3" borderId="6"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2" xfId="0" applyFont="1" applyFill="1" applyBorder="1" applyAlignment="1">
      <alignment horizontal="center" vertical="center"/>
    </xf>
    <xf numFmtId="0" fontId="17" fillId="2" borderId="0" xfId="0" applyFont="1" applyFill="1" applyAlignment="1">
      <alignment horizontal="left" vertical="center"/>
    </xf>
    <xf numFmtId="0" fontId="18" fillId="2" borderId="0" xfId="0" applyFont="1" applyFill="1"/>
    <xf numFmtId="0" fontId="17" fillId="2" borderId="0" xfId="0" applyFont="1" applyFill="1" applyAlignment="1">
      <alignment horizontal="center" vertical="center"/>
    </xf>
    <xf numFmtId="0" fontId="6" fillId="6" borderId="0" xfId="0" applyFont="1" applyFill="1" applyBorder="1"/>
    <xf numFmtId="0" fontId="11" fillId="6" borderId="0" xfId="0" applyFont="1" applyFill="1" applyBorder="1" applyAlignment="1">
      <alignment horizontal="center" vertical="center"/>
    </xf>
    <xf numFmtId="0" fontId="12" fillId="6" borderId="0" xfId="0" applyFont="1" applyFill="1"/>
    <xf numFmtId="0" fontId="19" fillId="6" borderId="0" xfId="0" applyFont="1" applyFill="1"/>
    <xf numFmtId="0" fontId="19" fillId="6" borderId="0" xfId="0" applyFont="1" applyFill="1" applyAlignment="1">
      <alignment horizontal="center"/>
    </xf>
    <xf numFmtId="0" fontId="6" fillId="6" borderId="0" xfId="0" applyFont="1" applyFill="1"/>
    <xf numFmtId="0" fontId="10" fillId="6" borderId="0" xfId="0" applyFont="1" applyFill="1"/>
    <xf numFmtId="0" fontId="3" fillId="6" borderId="0" xfId="0" applyFont="1" applyFill="1" applyAlignment="1">
      <alignment horizontal="center"/>
    </xf>
    <xf numFmtId="0" fontId="8" fillId="6" borderId="0" xfId="0" applyFont="1" applyFill="1"/>
    <xf numFmtId="0" fontId="16" fillId="6" borderId="0" xfId="0" applyFont="1" applyFill="1"/>
    <xf numFmtId="0" fontId="8" fillId="6" borderId="0" xfId="0" applyFont="1" applyFill="1" applyAlignment="1">
      <alignment horizontal="center"/>
    </xf>
    <xf numFmtId="0" fontId="4" fillId="3" borderId="7" xfId="0" applyFont="1" applyFill="1" applyBorder="1" applyAlignment="1">
      <alignment horizontal="center" vertical="center"/>
    </xf>
    <xf numFmtId="0" fontId="4" fillId="3" borderId="9" xfId="0" applyFont="1" applyFill="1" applyBorder="1" applyAlignment="1">
      <alignment horizontal="center" vertical="center"/>
    </xf>
    <xf numFmtId="0" fontId="7" fillId="4" borderId="0" xfId="0" applyFont="1" applyFill="1" applyAlignment="1">
      <alignment horizontal="center"/>
    </xf>
    <xf numFmtId="0" fontId="7" fillId="4" borderId="0" xfId="0" applyFont="1" applyFill="1" applyBorder="1" applyAlignment="1">
      <alignment horizontal="center"/>
    </xf>
    <xf numFmtId="0" fontId="4" fillId="5" borderId="6" xfId="0"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calcChain" Target="calcChain.xml"/><Relationship Id="rId12"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520700</xdr:colOff>
          <xdr:row>16</xdr:row>
          <xdr:rowOff>114300</xdr:rowOff>
        </xdr:from>
        <xdr:to>
          <xdr:col>10</xdr:col>
          <xdr:colOff>495300</xdr:colOff>
          <xdr:row>19</xdr:row>
          <xdr:rowOff>114300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0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Leaderboards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482600</xdr:colOff>
          <xdr:row>11</xdr:row>
          <xdr:rowOff>101600</xdr:rowOff>
        </xdr:from>
        <xdr:to>
          <xdr:col>10</xdr:col>
          <xdr:colOff>457200</xdr:colOff>
          <xdr:row>14</xdr:row>
          <xdr:rowOff>101600</xdr:rowOff>
        </xdr:to>
        <xdr:sp macro="" textlink="">
          <xdr:nvSpPr>
            <xdr:cNvPr id="8195" name="Button 3" hidden="1">
              <a:extLst>
                <a:ext uri="{63B3BB69-23CF-44E3-9099-C40C66FF867C}">
                  <a14:compatExt spid="_x0000_s8195"/>
                </a:ext>
                <a:ext uri="{FF2B5EF4-FFF2-40B4-BE49-F238E27FC236}">
                  <a16:creationId xmlns:a16="http://schemas.microsoft.com/office/drawing/2014/main" xmlns="" id="{00000000-0008-0000-0000-000003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Start Game</a:t>
              </a:r>
            </a:p>
          </xdr:txBody>
        </xdr:sp>
        <xdr:clientData fPrintsWithSheet="0"/>
      </xdr:twoCellAnchor>
    </mc:Choice>
    <mc:Fallback/>
  </mc:AlternateContent>
  <xdr:twoCellAnchor>
    <xdr:from>
      <xdr:col>3</xdr:col>
      <xdr:colOff>447262</xdr:colOff>
      <xdr:row>5</xdr:row>
      <xdr:rowOff>41414</xdr:rowOff>
    </xdr:from>
    <xdr:to>
      <xdr:col>13</xdr:col>
      <xdr:colOff>389283</xdr:colOff>
      <xdr:row>8</xdr:row>
      <xdr:rowOff>132522</xdr:rowOff>
    </xdr:to>
    <xdr:sp macro="" textlink="">
      <xdr:nvSpPr>
        <xdr:cNvPr id="2" name="Rectangle: Rounded Corners 1">
          <a:extLst>
            <a:ext uri="{FF2B5EF4-FFF2-40B4-BE49-F238E27FC236}">
              <a16:creationId xmlns:a16="http://schemas.microsoft.com/office/drawing/2014/main" xmlns="" id="{00000000-0008-0000-0000-000002000000}"/>
            </a:ext>
          </a:extLst>
        </xdr:cNvPr>
        <xdr:cNvSpPr/>
      </xdr:nvSpPr>
      <xdr:spPr>
        <a:xfrm>
          <a:off x="2286001" y="993914"/>
          <a:ext cx="7653130" cy="1639956"/>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6600" b="1"/>
            <a:t>2048</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57150</xdr:colOff>
      <xdr:row>9</xdr:row>
      <xdr:rowOff>76200</xdr:rowOff>
    </xdr:from>
    <xdr:to>
      <xdr:col>8</xdr:col>
      <xdr:colOff>0</xdr:colOff>
      <xdr:row>11</xdr:row>
      <xdr:rowOff>0</xdr:rowOff>
    </xdr:to>
    <xdr:sp macro="" textlink="">
      <xdr:nvSpPr>
        <xdr:cNvPr id="13" name="Rectangle: Rounded Corners 12">
          <a:extLst>
            <a:ext uri="{FF2B5EF4-FFF2-40B4-BE49-F238E27FC236}">
              <a16:creationId xmlns:a16="http://schemas.microsoft.com/office/drawing/2014/main" xmlns="" id="{00000000-0008-0000-0100-00000D000000}"/>
            </a:ext>
          </a:extLst>
        </xdr:cNvPr>
        <xdr:cNvSpPr/>
      </xdr:nvSpPr>
      <xdr:spPr>
        <a:xfrm>
          <a:off x="428625" y="5991225"/>
          <a:ext cx="5667375" cy="1600200"/>
        </a:xfrm>
        <a:prstGeom prst="roundRect">
          <a:avLst/>
        </a:prstGeom>
        <a:solidFill>
          <a:schemeClr val="accent1">
            <a:alpha val="2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3600" b="1">
            <a:solidFill>
              <a:schemeClr val="lt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9</xdr:col>
          <xdr:colOff>177800</xdr:colOff>
          <xdr:row>4</xdr:row>
          <xdr:rowOff>330200</xdr:rowOff>
        </xdr:from>
        <xdr:to>
          <xdr:col>11</xdr:col>
          <xdr:colOff>546100</xdr:colOff>
          <xdr:row>4</xdr:row>
          <xdr:rowOff>787400</xdr:rowOff>
        </xdr:to>
        <xdr:sp macro="" textlink="">
          <xdr:nvSpPr>
            <xdr:cNvPr id="1029" name="Button 5" hidden="1">
              <a:extLst>
                <a:ext uri="{63B3BB69-23CF-44E3-9099-C40C66FF867C}">
                  <a14:compatExt spid="_x0000_s1029"/>
                </a:ext>
                <a:ext uri="{FF2B5EF4-FFF2-40B4-BE49-F238E27FC236}">
                  <a16:creationId xmlns:a16="http://schemas.microsoft.com/office/drawing/2014/main" xmlns=""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xdr:twoCellAnchor>
    <xdr:from>
      <xdr:col>15</xdr:col>
      <xdr:colOff>338323</xdr:colOff>
      <xdr:row>4</xdr:row>
      <xdr:rowOff>28855</xdr:rowOff>
    </xdr:from>
    <xdr:to>
      <xdr:col>21</xdr:col>
      <xdr:colOff>425635</xdr:colOff>
      <xdr:row>8</xdr:row>
      <xdr:rowOff>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10670147" y="1900237"/>
          <a:ext cx="3583547" cy="4184557"/>
        </a:xfrm>
        <a:prstGeom prst="rect">
          <a:avLst/>
        </a:prstGeom>
        <a:solidFill>
          <a:schemeClr val="accent4">
            <a:lumMod val="20000"/>
            <a:lumOff val="80000"/>
          </a:schemeClr>
        </a:solidFill>
        <a:ln w="2857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400" b="1">
              <a:solidFill>
                <a:schemeClr val="dk1"/>
              </a:solidFill>
              <a:effectLst/>
              <a:latin typeface="+mn-lt"/>
              <a:ea typeface="+mn-ea"/>
              <a:cs typeface="+mn-cs"/>
            </a:rPr>
            <a:t>Instructions:</a:t>
          </a:r>
          <a:r>
            <a:rPr lang="en-CA" sz="1400">
              <a:solidFill>
                <a:schemeClr val="dk1"/>
              </a:solidFill>
              <a:effectLst/>
              <a:latin typeface="+mn-lt"/>
              <a:ea typeface="+mn-ea"/>
              <a:cs typeface="+mn-cs"/>
            </a:rPr>
            <a:t/>
          </a:r>
          <a:br>
            <a:rPr lang="en-CA" sz="1400">
              <a:solidFill>
                <a:schemeClr val="dk1"/>
              </a:solidFill>
              <a:effectLst/>
              <a:latin typeface="+mn-lt"/>
              <a:ea typeface="+mn-ea"/>
              <a:cs typeface="+mn-cs"/>
            </a:rPr>
          </a:br>
          <a:r>
            <a:rPr lang="en-CA" sz="1400">
              <a:solidFill>
                <a:schemeClr val="dk1"/>
              </a:solidFill>
              <a:effectLst/>
              <a:latin typeface="+mn-lt"/>
              <a:ea typeface="+mn-ea"/>
              <a:cs typeface="+mn-cs"/>
            </a:rPr>
            <a:t/>
          </a:r>
          <a:br>
            <a:rPr lang="en-CA" sz="1400">
              <a:solidFill>
                <a:schemeClr val="dk1"/>
              </a:solidFill>
              <a:effectLst/>
              <a:latin typeface="+mn-lt"/>
              <a:ea typeface="+mn-ea"/>
              <a:cs typeface="+mn-cs"/>
            </a:rPr>
          </a:br>
          <a:r>
            <a:rPr lang="en-CA" sz="1400">
              <a:solidFill>
                <a:schemeClr val="dk1"/>
              </a:solidFill>
              <a:effectLst/>
              <a:latin typeface="+mn-lt"/>
              <a:ea typeface="+mn-ea"/>
              <a:cs typeface="+mn-cs"/>
            </a:rPr>
            <a:t>Move tiles using the keyboard. Bumping into the same number will add the tiles together. Keep adding up tiles until you get 2048. If you can’t move anymore tiles, you lose.</a:t>
          </a:r>
          <a:br>
            <a:rPr lang="en-CA" sz="1400">
              <a:solidFill>
                <a:schemeClr val="dk1"/>
              </a:solidFill>
              <a:effectLst/>
              <a:latin typeface="+mn-lt"/>
              <a:ea typeface="+mn-ea"/>
              <a:cs typeface="+mn-cs"/>
            </a:rPr>
          </a:br>
          <a:r>
            <a:rPr lang="en-CA" sz="1400" b="1">
              <a:solidFill>
                <a:schemeClr val="dk1"/>
              </a:solidFill>
              <a:effectLst/>
              <a:latin typeface="+mn-lt"/>
              <a:ea typeface="+mn-ea"/>
              <a:cs typeface="+mn-cs"/>
            </a:rPr>
            <a:t/>
          </a:r>
          <a:br>
            <a:rPr lang="en-CA" sz="1400" b="1">
              <a:solidFill>
                <a:schemeClr val="dk1"/>
              </a:solidFill>
              <a:effectLst/>
              <a:latin typeface="+mn-lt"/>
              <a:ea typeface="+mn-ea"/>
              <a:cs typeface="+mn-cs"/>
            </a:rPr>
          </a:br>
          <a:r>
            <a:rPr lang="en-CA" sz="1400" b="1">
              <a:solidFill>
                <a:schemeClr val="dk1"/>
              </a:solidFill>
              <a:effectLst/>
              <a:latin typeface="+mn-lt"/>
              <a:ea typeface="+mn-ea"/>
              <a:cs typeface="+mn-cs"/>
            </a:rPr>
            <a:t>Controls:</a:t>
          </a:r>
          <a:r>
            <a:rPr lang="en-CA" sz="1400">
              <a:solidFill>
                <a:schemeClr val="dk1"/>
              </a:solidFill>
              <a:effectLst/>
              <a:latin typeface="+mn-lt"/>
              <a:ea typeface="+mn-ea"/>
              <a:cs typeface="+mn-cs"/>
            </a:rPr>
            <a:t/>
          </a:r>
          <a:br>
            <a:rPr lang="en-CA" sz="1400">
              <a:solidFill>
                <a:schemeClr val="dk1"/>
              </a:solidFill>
              <a:effectLst/>
              <a:latin typeface="+mn-lt"/>
              <a:ea typeface="+mn-ea"/>
              <a:cs typeface="+mn-cs"/>
            </a:rPr>
          </a:br>
          <a:r>
            <a:rPr lang="en-CA" sz="1400" b="1">
              <a:solidFill>
                <a:schemeClr val="dk1"/>
              </a:solidFill>
              <a:effectLst/>
              <a:latin typeface="+mn-lt"/>
              <a:ea typeface="+mn-ea"/>
              <a:cs typeface="+mn-cs"/>
            </a:rPr>
            <a:t>W:</a:t>
          </a:r>
          <a:r>
            <a:rPr lang="en-CA" sz="1400">
              <a:solidFill>
                <a:schemeClr val="dk1"/>
              </a:solidFill>
              <a:effectLst/>
              <a:latin typeface="+mn-lt"/>
              <a:ea typeface="+mn-ea"/>
              <a:cs typeface="+mn-cs"/>
            </a:rPr>
            <a:t> Up</a:t>
          </a:r>
          <a:br>
            <a:rPr lang="en-CA" sz="1400">
              <a:solidFill>
                <a:schemeClr val="dk1"/>
              </a:solidFill>
              <a:effectLst/>
              <a:latin typeface="+mn-lt"/>
              <a:ea typeface="+mn-ea"/>
              <a:cs typeface="+mn-cs"/>
            </a:rPr>
          </a:br>
          <a:r>
            <a:rPr lang="en-CA" sz="1400" b="1">
              <a:solidFill>
                <a:schemeClr val="dk1"/>
              </a:solidFill>
              <a:effectLst/>
              <a:latin typeface="+mn-lt"/>
              <a:ea typeface="+mn-ea"/>
              <a:cs typeface="+mn-cs"/>
            </a:rPr>
            <a:t>A:</a:t>
          </a:r>
          <a:r>
            <a:rPr lang="en-CA" sz="1400">
              <a:solidFill>
                <a:schemeClr val="dk1"/>
              </a:solidFill>
              <a:effectLst/>
              <a:latin typeface="+mn-lt"/>
              <a:ea typeface="+mn-ea"/>
              <a:cs typeface="+mn-cs"/>
            </a:rPr>
            <a:t> Left</a:t>
          </a:r>
          <a:br>
            <a:rPr lang="en-CA" sz="1400">
              <a:solidFill>
                <a:schemeClr val="dk1"/>
              </a:solidFill>
              <a:effectLst/>
              <a:latin typeface="+mn-lt"/>
              <a:ea typeface="+mn-ea"/>
              <a:cs typeface="+mn-cs"/>
            </a:rPr>
          </a:br>
          <a:r>
            <a:rPr lang="en-CA" sz="1400" b="1">
              <a:solidFill>
                <a:schemeClr val="dk1"/>
              </a:solidFill>
              <a:effectLst/>
              <a:latin typeface="+mn-lt"/>
              <a:ea typeface="+mn-ea"/>
              <a:cs typeface="+mn-cs"/>
            </a:rPr>
            <a:t>S: </a:t>
          </a:r>
          <a:r>
            <a:rPr lang="en-CA" sz="1400">
              <a:solidFill>
                <a:schemeClr val="dk1"/>
              </a:solidFill>
              <a:effectLst/>
              <a:latin typeface="+mn-lt"/>
              <a:ea typeface="+mn-ea"/>
              <a:cs typeface="+mn-cs"/>
            </a:rPr>
            <a:t>Down</a:t>
          </a:r>
          <a:br>
            <a:rPr lang="en-CA" sz="1400">
              <a:solidFill>
                <a:schemeClr val="dk1"/>
              </a:solidFill>
              <a:effectLst/>
              <a:latin typeface="+mn-lt"/>
              <a:ea typeface="+mn-ea"/>
              <a:cs typeface="+mn-cs"/>
            </a:rPr>
          </a:br>
          <a:r>
            <a:rPr lang="en-CA" sz="1400" b="1">
              <a:solidFill>
                <a:schemeClr val="dk1"/>
              </a:solidFill>
              <a:effectLst/>
              <a:latin typeface="+mn-lt"/>
              <a:ea typeface="+mn-ea"/>
              <a:cs typeface="+mn-cs"/>
            </a:rPr>
            <a:t>D:</a:t>
          </a:r>
          <a:r>
            <a:rPr lang="en-CA" sz="1400">
              <a:solidFill>
                <a:schemeClr val="dk1"/>
              </a:solidFill>
              <a:effectLst/>
              <a:latin typeface="+mn-lt"/>
              <a:ea typeface="+mn-ea"/>
              <a:cs typeface="+mn-cs"/>
            </a:rPr>
            <a:t> Right</a:t>
          </a:r>
        </a:p>
      </xdr:txBody>
    </xdr:sp>
    <xdr:clientData/>
  </xdr:twoCellAnchor>
  <xdr:twoCellAnchor>
    <xdr:from>
      <xdr:col>9</xdr:col>
      <xdr:colOff>95249</xdr:colOff>
      <xdr:row>4</xdr:row>
      <xdr:rowOff>63499</xdr:rowOff>
    </xdr:from>
    <xdr:to>
      <xdr:col>10</xdr:col>
      <xdr:colOff>484187</xdr:colOff>
      <xdr:row>4</xdr:row>
      <xdr:rowOff>396874</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72274" y="1939924"/>
          <a:ext cx="969963" cy="333375"/>
        </a:xfrm>
        <a:prstGeom prst="rect">
          <a:avLst/>
        </a:prstGeom>
        <a:noFill/>
        <a:ln w="285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400" b="1">
              <a:solidFill>
                <a:schemeClr val="dk1"/>
              </a:solidFill>
              <a:effectLst/>
              <a:latin typeface="+mn-lt"/>
              <a:ea typeface="+mn-ea"/>
              <a:cs typeface="+mn-cs"/>
            </a:rPr>
            <a:t>Functions:</a:t>
          </a:r>
          <a:r>
            <a:rPr lang="en-CA" sz="1400">
              <a:solidFill>
                <a:schemeClr val="dk1"/>
              </a:solidFill>
              <a:effectLst/>
              <a:latin typeface="+mn-lt"/>
              <a:ea typeface="+mn-ea"/>
              <a:cs typeface="+mn-cs"/>
            </a:rPr>
            <a:t/>
          </a:r>
          <a:br>
            <a:rPr lang="en-CA" sz="1400">
              <a:solidFill>
                <a:schemeClr val="dk1"/>
              </a:solidFill>
              <a:effectLst/>
              <a:latin typeface="+mn-lt"/>
              <a:ea typeface="+mn-ea"/>
              <a:cs typeface="+mn-cs"/>
            </a:rPr>
          </a:br>
          <a:endParaRPr lang="en-CA" sz="14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9</xdr:col>
          <xdr:colOff>215900</xdr:colOff>
          <xdr:row>5</xdr:row>
          <xdr:rowOff>266700</xdr:rowOff>
        </xdr:from>
        <xdr:to>
          <xdr:col>11</xdr:col>
          <xdr:colOff>558800</xdr:colOff>
          <xdr:row>5</xdr:row>
          <xdr:rowOff>736600</xdr:rowOff>
        </xdr:to>
        <xdr:sp macro="" textlink="">
          <xdr:nvSpPr>
            <xdr:cNvPr id="1034" name="Button 10" hidden="1">
              <a:extLst>
                <a:ext uri="{63B3BB69-23CF-44E3-9099-C40C66FF867C}">
                  <a14:compatExt spid="_x0000_s1034"/>
                </a:ext>
                <a:ext uri="{FF2B5EF4-FFF2-40B4-BE49-F238E27FC236}">
                  <a16:creationId xmlns:a16="http://schemas.microsoft.com/office/drawing/2014/main" xmlns=""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Free Tile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203200</xdr:colOff>
          <xdr:row>6</xdr:row>
          <xdr:rowOff>279400</xdr:rowOff>
        </xdr:from>
        <xdr:to>
          <xdr:col>11</xdr:col>
          <xdr:colOff>558800</xdr:colOff>
          <xdr:row>6</xdr:row>
          <xdr:rowOff>749300</xdr:rowOff>
        </xdr:to>
        <xdr:sp macro="" textlink="">
          <xdr:nvSpPr>
            <xdr:cNvPr id="1036" name="Button 12" hidden="1">
              <a:extLst>
                <a:ext uri="{63B3BB69-23CF-44E3-9099-C40C66FF867C}">
                  <a14:compatExt spid="_x0000_s1036"/>
                </a:ext>
                <a:ext uri="{FF2B5EF4-FFF2-40B4-BE49-F238E27FC236}">
                  <a16:creationId xmlns:a16="http://schemas.microsoft.com/office/drawing/2014/main" xmlns=""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Undo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7</xdr:row>
          <xdr:rowOff>393700</xdr:rowOff>
        </xdr:from>
        <xdr:to>
          <xdr:col>11</xdr:col>
          <xdr:colOff>571500</xdr:colOff>
          <xdr:row>7</xdr:row>
          <xdr:rowOff>838200</xdr:rowOff>
        </xdr:to>
        <xdr:sp macro="" textlink="">
          <xdr:nvSpPr>
            <xdr:cNvPr id="1041" name="Button 17" hidden="1">
              <a:extLst>
                <a:ext uri="{63B3BB69-23CF-44E3-9099-C40C66FF867C}">
                  <a14:compatExt spid="_x0000_s1041"/>
                </a:ext>
                <a:ext uri="{FF2B5EF4-FFF2-40B4-BE49-F238E27FC236}">
                  <a16:creationId xmlns:a16="http://schemas.microsoft.com/office/drawing/2014/main" xmlns=""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Hint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177800</xdr:colOff>
          <xdr:row>7</xdr:row>
          <xdr:rowOff>393700</xdr:rowOff>
        </xdr:from>
        <xdr:to>
          <xdr:col>14</xdr:col>
          <xdr:colOff>850900</xdr:colOff>
          <xdr:row>7</xdr:row>
          <xdr:rowOff>838200</xdr:rowOff>
        </xdr:to>
        <xdr:sp macro="" textlink="">
          <xdr:nvSpPr>
            <xdr:cNvPr id="1042" name="Button 18" hidden="1">
              <a:extLst>
                <a:ext uri="{63B3BB69-23CF-44E3-9099-C40C66FF867C}">
                  <a14:compatExt spid="_x0000_s1042"/>
                </a:ext>
                <a:ext uri="{FF2B5EF4-FFF2-40B4-BE49-F238E27FC236}">
                  <a16:creationId xmlns:a16="http://schemas.microsoft.com/office/drawing/2014/main" xmlns="" id="{00000000-0008-0000-0100-00001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2048 Watson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558800</xdr:colOff>
          <xdr:row>1</xdr:row>
          <xdr:rowOff>787400</xdr:rowOff>
        </xdr:from>
        <xdr:to>
          <xdr:col>21</xdr:col>
          <xdr:colOff>469900</xdr:colOff>
          <xdr:row>3</xdr:row>
          <xdr:rowOff>254000</xdr:rowOff>
        </xdr:to>
        <xdr:sp macro="" textlink="">
          <xdr:nvSpPr>
            <xdr:cNvPr id="1044" name="Button 20" hidden="1">
              <a:extLst>
                <a:ext uri="{63B3BB69-23CF-44E3-9099-C40C66FF867C}">
                  <a14:compatExt spid="_x0000_s1044"/>
                </a:ext>
                <a:ext uri="{FF2B5EF4-FFF2-40B4-BE49-F238E27FC236}">
                  <a16:creationId xmlns:a16="http://schemas.microsoft.com/office/drawing/2014/main" xmlns="" id="{00000000-0008-0000-01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Back To Menu</a:t>
              </a:r>
            </a:p>
          </xdr:txBody>
        </xdr:sp>
        <xdr:clientData fPrintsWithSheet="0"/>
      </xdr:twoCellAnchor>
    </mc:Choice>
    <mc:Fallback/>
  </mc:AlternateContent>
  <xdr:twoCellAnchor>
    <xdr:from>
      <xdr:col>1</xdr:col>
      <xdr:colOff>95250</xdr:colOff>
      <xdr:row>1</xdr:row>
      <xdr:rowOff>95250</xdr:rowOff>
    </xdr:from>
    <xdr:to>
      <xdr:col>15</xdr:col>
      <xdr:colOff>352425</xdr:colOff>
      <xdr:row>3</xdr:row>
      <xdr:rowOff>219075</xdr:rowOff>
    </xdr:to>
    <xdr:sp macro="" textlink="">
      <xdr:nvSpPr>
        <xdr:cNvPr id="10" name="Rectangle: Rounded Corners 9">
          <a:extLst>
            <a:ext uri="{FF2B5EF4-FFF2-40B4-BE49-F238E27FC236}">
              <a16:creationId xmlns:a16="http://schemas.microsoft.com/office/drawing/2014/main" xmlns="" id="{00000000-0008-0000-0100-00000A000000}"/>
            </a:ext>
          </a:extLst>
        </xdr:cNvPr>
        <xdr:cNvSpPr/>
      </xdr:nvSpPr>
      <xdr:spPr>
        <a:xfrm>
          <a:off x="219075" y="180975"/>
          <a:ext cx="10458450" cy="1143000"/>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3600" b="1">
              <a:solidFill>
                <a:schemeClr val="lt1"/>
              </a:solidFill>
              <a:effectLst/>
              <a:latin typeface="+mn-lt"/>
              <a:ea typeface="+mn-ea"/>
              <a:cs typeface="+mn-cs"/>
            </a:rPr>
            <a:t>Can you get 2048?</a:t>
          </a:r>
          <a:endParaRPr lang="en-US" sz="3600" b="1">
            <a:solidFill>
              <a:schemeClr val="lt1"/>
            </a:solidFill>
            <a:effectLst/>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139700</xdr:colOff>
          <xdr:row>18</xdr:row>
          <xdr:rowOff>139700</xdr:rowOff>
        </xdr:from>
        <xdr:to>
          <xdr:col>11</xdr:col>
          <xdr:colOff>457200</xdr:colOff>
          <xdr:row>22</xdr:row>
          <xdr:rowOff>50800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Play Again</a:t>
              </a:r>
            </a:p>
          </xdr:txBody>
        </xdr:sp>
        <xdr:clientData fPrintsWithSheet="0"/>
      </xdr:twoCellAnchor>
    </mc:Choice>
    <mc:Fallback/>
  </mc:AlternateContent>
  <xdr:twoCellAnchor>
    <xdr:from>
      <xdr:col>0</xdr:col>
      <xdr:colOff>447261</xdr:colOff>
      <xdr:row>1</xdr:row>
      <xdr:rowOff>24849</xdr:rowOff>
    </xdr:from>
    <xdr:to>
      <xdr:col>20</xdr:col>
      <xdr:colOff>422413</xdr:colOff>
      <xdr:row>7</xdr:row>
      <xdr:rowOff>99392</xdr:rowOff>
    </xdr:to>
    <xdr:sp macro="" textlink="">
      <xdr:nvSpPr>
        <xdr:cNvPr id="3" name="Rectangle: Rounded Corners 2">
          <a:extLst>
            <a:ext uri="{FF2B5EF4-FFF2-40B4-BE49-F238E27FC236}">
              <a16:creationId xmlns:a16="http://schemas.microsoft.com/office/drawing/2014/main" xmlns="" id="{00000000-0008-0000-0200-000003000000}"/>
            </a:ext>
          </a:extLst>
        </xdr:cNvPr>
        <xdr:cNvSpPr/>
      </xdr:nvSpPr>
      <xdr:spPr>
        <a:xfrm>
          <a:off x="447261" y="215349"/>
          <a:ext cx="11570804" cy="1615108"/>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CA" sz="3600" b="1">
              <a:solidFill>
                <a:schemeClr val="lt1"/>
              </a:solidFill>
              <a:effectLst/>
              <a:latin typeface="+mn-lt"/>
              <a:ea typeface="+mn-ea"/>
              <a:cs typeface="+mn-cs"/>
            </a:rPr>
            <a:t>Congraulations! You can now join the leaderboards as a 2048 champion!</a:t>
          </a:r>
          <a:endParaRPr lang="en-US" sz="3600" b="1">
            <a:solidFill>
              <a:schemeClr val="lt1"/>
            </a:solidFill>
            <a:effectLst/>
            <a:latin typeface="+mn-lt"/>
            <a:ea typeface="+mn-ea"/>
            <a:cs typeface="+mn-cs"/>
          </a:endParaRPr>
        </a:p>
      </xdr:txBody>
    </xdr:sp>
    <xdr:clientData/>
  </xdr:twoCellAnchor>
  <xdr:twoCellAnchor>
    <xdr:from>
      <xdr:col>5</xdr:col>
      <xdr:colOff>0</xdr:colOff>
      <xdr:row>8</xdr:row>
      <xdr:rowOff>520148</xdr:rowOff>
    </xdr:from>
    <xdr:to>
      <xdr:col>14</xdr:col>
      <xdr:colOff>449331</xdr:colOff>
      <xdr:row>13</xdr:row>
      <xdr:rowOff>0</xdr:rowOff>
    </xdr:to>
    <xdr:sp macro="" textlink="">
      <xdr:nvSpPr>
        <xdr:cNvPr id="5" name="Rectangle: Rounded Corners 4">
          <a:extLst>
            <a:ext uri="{FF2B5EF4-FFF2-40B4-BE49-F238E27FC236}">
              <a16:creationId xmlns:a16="http://schemas.microsoft.com/office/drawing/2014/main" xmlns="" id="{00000000-0008-0000-0200-000005000000}"/>
            </a:ext>
          </a:extLst>
        </xdr:cNvPr>
        <xdr:cNvSpPr/>
      </xdr:nvSpPr>
      <xdr:spPr>
        <a:xfrm>
          <a:off x="2898913" y="2441713"/>
          <a:ext cx="5667375" cy="1384852"/>
        </a:xfrm>
        <a:prstGeom prst="roundRect">
          <a:avLst/>
        </a:prstGeom>
        <a:solidFill>
          <a:schemeClr val="accent1">
            <a:alpha val="2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3600" b="1">
            <a:solidFill>
              <a:schemeClr val="lt1"/>
            </a:solidFill>
            <a:effectLst/>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12700</xdr:colOff>
          <xdr:row>17</xdr:row>
          <xdr:rowOff>152400</xdr:rowOff>
        </xdr:from>
        <xdr:to>
          <xdr:col>11</xdr:col>
          <xdr:colOff>520700</xdr:colOff>
          <xdr:row>21</xdr:row>
          <xdr:rowOff>50800</xdr:rowOff>
        </xdr:to>
        <xdr:sp macro="" textlink="">
          <xdr:nvSpPr>
            <xdr:cNvPr id="2049" name="Button 1" hidden="1">
              <a:extLst>
                <a:ext uri="{63B3BB69-23CF-44E3-9099-C40C66FF867C}">
                  <a14:compatExt spid="_x0000_s2049"/>
                </a:ext>
                <a:ext uri="{FF2B5EF4-FFF2-40B4-BE49-F238E27FC236}">
                  <a16:creationId xmlns:a16="http://schemas.microsoft.com/office/drawing/2014/main" xmlns=""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Play Again</a:t>
              </a:r>
            </a:p>
          </xdr:txBody>
        </xdr:sp>
        <xdr:clientData fPrintsWithSheet="0"/>
      </xdr:twoCellAnchor>
    </mc:Choice>
    <mc:Fallback/>
  </mc:AlternateContent>
  <xdr:twoCellAnchor>
    <xdr:from>
      <xdr:col>1</xdr:col>
      <xdr:colOff>24848</xdr:colOff>
      <xdr:row>2</xdr:row>
      <xdr:rowOff>82826</xdr:rowOff>
    </xdr:from>
    <xdr:to>
      <xdr:col>21</xdr:col>
      <xdr:colOff>0</xdr:colOff>
      <xdr:row>7</xdr:row>
      <xdr:rowOff>157369</xdr:rowOff>
    </xdr:to>
    <xdr:sp macro="" textlink="">
      <xdr:nvSpPr>
        <xdr:cNvPr id="3" name="Rectangle: Rounded Corners 2">
          <a:extLst>
            <a:ext uri="{FF2B5EF4-FFF2-40B4-BE49-F238E27FC236}">
              <a16:creationId xmlns:a16="http://schemas.microsoft.com/office/drawing/2014/main" xmlns="" id="{00000000-0008-0000-0300-000003000000}"/>
            </a:ext>
          </a:extLst>
        </xdr:cNvPr>
        <xdr:cNvSpPr/>
      </xdr:nvSpPr>
      <xdr:spPr>
        <a:xfrm>
          <a:off x="604631" y="463826"/>
          <a:ext cx="11695043" cy="1615108"/>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3600" b="1">
              <a:solidFill>
                <a:schemeClr val="lt1"/>
              </a:solidFill>
              <a:effectLst/>
              <a:latin typeface="+mn-lt"/>
              <a:ea typeface="+mn-ea"/>
              <a:cs typeface="+mn-cs"/>
            </a:rPr>
            <a:t>Looks like you ran out of moves, but keep trying!</a:t>
          </a:r>
          <a:endParaRPr lang="en-US" sz="3600" b="1">
            <a:solidFill>
              <a:schemeClr val="lt1"/>
            </a:solidFill>
            <a:effectLst/>
            <a:latin typeface="+mn-lt"/>
            <a:ea typeface="+mn-ea"/>
            <a:cs typeface="+mn-cs"/>
          </a:endParaRPr>
        </a:p>
      </xdr:txBody>
    </xdr:sp>
    <xdr:clientData/>
  </xdr:twoCellAnchor>
  <xdr:twoCellAnchor>
    <xdr:from>
      <xdr:col>5</xdr:col>
      <xdr:colOff>0</xdr:colOff>
      <xdr:row>8</xdr:row>
      <xdr:rowOff>511866</xdr:rowOff>
    </xdr:from>
    <xdr:to>
      <xdr:col>14</xdr:col>
      <xdr:colOff>325092</xdr:colOff>
      <xdr:row>13</xdr:row>
      <xdr:rowOff>8283</xdr:rowOff>
    </xdr:to>
    <xdr:sp macro="" textlink="">
      <xdr:nvSpPr>
        <xdr:cNvPr id="4" name="Rectangle: Rounded Corners 3">
          <a:extLst>
            <a:ext uri="{FF2B5EF4-FFF2-40B4-BE49-F238E27FC236}">
              <a16:creationId xmlns:a16="http://schemas.microsoft.com/office/drawing/2014/main" xmlns="" id="{00000000-0008-0000-0300-000004000000}"/>
            </a:ext>
          </a:extLst>
        </xdr:cNvPr>
        <xdr:cNvSpPr/>
      </xdr:nvSpPr>
      <xdr:spPr>
        <a:xfrm>
          <a:off x="2898913" y="2623931"/>
          <a:ext cx="5667375" cy="1384852"/>
        </a:xfrm>
        <a:prstGeom prst="roundRect">
          <a:avLst/>
        </a:prstGeom>
        <a:solidFill>
          <a:schemeClr val="accent1">
            <a:alpha val="2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3600" b="1">
            <a:solidFill>
              <a:schemeClr val="lt1"/>
            </a:solidFill>
            <a:effectLst/>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558800</xdr:colOff>
          <xdr:row>0</xdr:row>
          <xdr:rowOff>152400</xdr:rowOff>
        </xdr:from>
        <xdr:to>
          <xdr:col>11</xdr:col>
          <xdr:colOff>0</xdr:colOff>
          <xdr:row>1</xdr:row>
          <xdr:rowOff>469900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Back To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558800</xdr:colOff>
          <xdr:row>3</xdr:row>
          <xdr:rowOff>76200</xdr:rowOff>
        </xdr:from>
        <xdr:to>
          <xdr:col>11</xdr:col>
          <xdr:colOff>25400</xdr:colOff>
          <xdr:row>3</xdr:row>
          <xdr:rowOff>609600</xdr:rowOff>
        </xdr:to>
        <xdr:sp macro="" textlink="">
          <xdr:nvSpPr>
            <xdr:cNvPr id="5122" name="Button 2"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Clear Score History</a:t>
              </a:r>
            </a:p>
          </xdr:txBody>
        </xdr:sp>
        <xdr:clientData fPrintsWithSheet="0"/>
      </xdr:twoCellAnchor>
    </mc:Choice>
    <mc:Fallback/>
  </mc:AlternateContent>
  <xdr:twoCellAnchor>
    <xdr:from>
      <xdr:col>0</xdr:col>
      <xdr:colOff>737151</xdr:colOff>
      <xdr:row>1</xdr:row>
      <xdr:rowOff>149087</xdr:rowOff>
    </xdr:from>
    <xdr:to>
      <xdr:col>6</xdr:col>
      <xdr:colOff>107673</xdr:colOff>
      <xdr:row>3</xdr:row>
      <xdr:rowOff>513522</xdr:rowOff>
    </xdr:to>
    <xdr:sp macro="" textlink="">
      <xdr:nvSpPr>
        <xdr:cNvPr id="6" name="Rectangle: Rounded Corners 5">
          <a:extLst>
            <a:ext uri="{FF2B5EF4-FFF2-40B4-BE49-F238E27FC236}">
              <a16:creationId xmlns:a16="http://schemas.microsoft.com/office/drawing/2014/main" xmlns="" id="{00000000-0008-0000-0400-000006000000}"/>
            </a:ext>
          </a:extLst>
        </xdr:cNvPr>
        <xdr:cNvSpPr/>
      </xdr:nvSpPr>
      <xdr:spPr>
        <a:xfrm>
          <a:off x="737151" y="339587"/>
          <a:ext cx="9152283" cy="1143000"/>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3600" b="1">
              <a:solidFill>
                <a:schemeClr val="lt1"/>
              </a:solidFill>
              <a:effectLst/>
              <a:latin typeface="+mn-lt"/>
              <a:ea typeface="+mn-ea"/>
              <a:cs typeface="+mn-cs"/>
            </a:rPr>
            <a:t>2048 Leaderboards</a:t>
          </a:r>
          <a:endParaRPr lang="en-US" sz="3600" b="1">
            <a:solidFill>
              <a:schemeClr val="lt1"/>
            </a:solidFill>
            <a:effectLst/>
            <a:latin typeface="+mn-lt"/>
            <a:ea typeface="+mn-ea"/>
            <a:cs typeface="+mn-cs"/>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trlProp" Target="../ctrlProps/ctrlProp3.xml"/><Relationship Id="rId5" Type="http://schemas.openxmlformats.org/officeDocument/2006/relationships/ctrlProp" Target="../ctrlProps/ctrlProp4.xml"/><Relationship Id="rId6" Type="http://schemas.openxmlformats.org/officeDocument/2006/relationships/ctrlProp" Target="../ctrlProps/ctrlProp5.xml"/><Relationship Id="rId7" Type="http://schemas.openxmlformats.org/officeDocument/2006/relationships/ctrlProp" Target="../ctrlProps/ctrlProp6.xml"/><Relationship Id="rId8" Type="http://schemas.openxmlformats.org/officeDocument/2006/relationships/ctrlProp" Target="../ctrlProps/ctrlProp7.xml"/><Relationship Id="rId9" Type="http://schemas.openxmlformats.org/officeDocument/2006/relationships/ctrlProp" Target="../ctrlProps/ctrlProp8.xml"/><Relationship Id="rId1" Type="http://schemas.openxmlformats.org/officeDocument/2006/relationships/printerSettings" Target="../printerSettings/printerSettings2.bin"/><Relationship Id="rId2"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3.vml"/><Relationship Id="rId3"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 Id="rId2" Type="http://schemas.openxmlformats.org/officeDocument/2006/relationships/vmlDrawing" Target="../drawings/vmlDrawing4.vml"/><Relationship Id="rId3"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4" Type="http://schemas.openxmlformats.org/officeDocument/2006/relationships/ctrlProp" Target="../ctrlProps/ctrlProp12.xml"/><Relationship Id="rId1" Type="http://schemas.openxmlformats.org/officeDocument/2006/relationships/drawing" Target="../drawings/drawing5.xml"/><Relationship Id="rId2"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dimension ref="I7"/>
  <sheetViews>
    <sheetView showGridLines="0" showRowColHeaders="0" tabSelected="1" workbookViewId="0">
      <selection activeCell="P23" sqref="P23"/>
    </sheetView>
  </sheetViews>
  <sheetFormatPr baseColWidth="10" defaultColWidth="9.1640625" defaultRowHeight="15" x14ac:dyDescent="0.2"/>
  <cols>
    <col min="1" max="8" width="9.1640625" style="12" customWidth="1"/>
    <col min="9" max="9" width="32.83203125" style="12" customWidth="1"/>
    <col min="10" max="21" width="9.1640625" style="12" customWidth="1"/>
    <col min="22" max="16384" width="9.1640625" style="12"/>
  </cols>
  <sheetData>
    <row r="7" spans="9:9" ht="92" x14ac:dyDescent="1">
      <c r="I7" s="3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Leaderboards">
                <anchor moveWithCells="1" sizeWithCells="1">
                  <from>
                    <xdr:col>6</xdr:col>
                    <xdr:colOff>520700</xdr:colOff>
                    <xdr:row>16</xdr:row>
                    <xdr:rowOff>114300</xdr:rowOff>
                  </from>
                  <to>
                    <xdr:col>10</xdr:col>
                    <xdr:colOff>495300</xdr:colOff>
                    <xdr:row>19</xdr:row>
                    <xdr:rowOff>114300</xdr:rowOff>
                  </to>
                </anchor>
              </controlPr>
            </control>
          </mc:Choice>
          <mc:Fallback/>
        </mc:AlternateContent>
        <mc:AlternateContent xmlns:mc="http://schemas.openxmlformats.org/markup-compatibility/2006">
          <mc:Choice Requires="x14">
            <control shapeId="8195" r:id="rId5" name="Button 3">
              <controlPr defaultSize="0" print="0" autoFill="0" autoPict="0" macro="[0]!StartGame">
                <anchor moveWithCells="1" sizeWithCells="1">
                  <from>
                    <xdr:col>6</xdr:col>
                    <xdr:colOff>482600</xdr:colOff>
                    <xdr:row>11</xdr:row>
                    <xdr:rowOff>101600</xdr:rowOff>
                  </from>
                  <to>
                    <xdr:col>10</xdr:col>
                    <xdr:colOff>457200</xdr:colOff>
                    <xdr:row>14</xdr:row>
                    <xdr:rowOff>101600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outlinePr showOutlineSymbols="0"/>
  </sheetPr>
  <dimension ref="E1:U35"/>
  <sheetViews>
    <sheetView showGridLines="0" showOutlineSymbols="0" workbookViewId="0">
      <selection activeCell="H9" sqref="H9"/>
    </sheetView>
  </sheetViews>
  <sheetFormatPr baseColWidth="10" defaultColWidth="8.6640625" defaultRowHeight="15" x14ac:dyDescent="0.2"/>
  <cols>
    <col min="1" max="4" width="1.83203125" style="1" customWidth="1"/>
    <col min="5" max="8" width="21" style="1" customWidth="1"/>
    <col min="9" max="12" width="8.6640625" style="1"/>
    <col min="13" max="13" width="3.6640625" style="1" customWidth="1"/>
    <col min="14" max="14" width="8.6640625" style="1"/>
    <col min="15" max="15" width="16.1640625" style="1" customWidth="1"/>
    <col min="16" max="16384" width="8.6640625" style="1"/>
  </cols>
  <sheetData>
    <row r="1" spans="5:21" ht="6.75" customHeight="1" x14ac:dyDescent="0.2"/>
    <row r="2" spans="5:21" ht="73.5" customHeight="1" x14ac:dyDescent="1">
      <c r="E2" s="3"/>
    </row>
    <row r="3" spans="5:21" ht="6.75" customHeight="1" x14ac:dyDescent="0.2">
      <c r="J3" s="2"/>
      <c r="K3" s="2"/>
      <c r="L3" s="2"/>
      <c r="M3" s="2"/>
      <c r="N3" s="2"/>
      <c r="O3" s="2"/>
      <c r="P3" s="2"/>
      <c r="Q3" s="2"/>
      <c r="R3" s="2"/>
      <c r="S3" s="2"/>
      <c r="T3" s="2"/>
      <c r="U3" s="2"/>
    </row>
    <row r="4" spans="5:21" ht="33" customHeight="1" thickBot="1" x14ac:dyDescent="0.25">
      <c r="J4" s="2"/>
      <c r="K4" s="2"/>
      <c r="L4" s="2"/>
      <c r="M4" s="2"/>
      <c r="N4" s="2"/>
      <c r="O4" s="2"/>
      <c r="P4" s="2"/>
      <c r="Q4" s="2"/>
      <c r="R4" s="2"/>
      <c r="S4" s="2"/>
      <c r="T4" s="2"/>
      <c r="U4" s="2"/>
    </row>
    <row r="5" spans="5:21" ht="82.5" customHeight="1" thickTop="1" x14ac:dyDescent="0.2">
      <c r="E5" s="35"/>
      <c r="F5" s="18"/>
      <c r="G5" s="18"/>
      <c r="H5" s="33"/>
      <c r="J5" s="5"/>
      <c r="K5" s="6"/>
      <c r="L5" s="6"/>
      <c r="M5" s="6"/>
      <c r="N5" s="25"/>
      <c r="O5" s="26"/>
      <c r="P5" s="2"/>
      <c r="Q5" s="2"/>
      <c r="R5" s="2"/>
      <c r="S5" s="2"/>
      <c r="T5" s="2"/>
      <c r="U5" s="2"/>
    </row>
    <row r="6" spans="5:21" ht="82.5" customHeight="1" x14ac:dyDescent="0.35">
      <c r="E6" s="17"/>
      <c r="F6" s="16"/>
      <c r="G6" s="16"/>
      <c r="H6" s="54">
        <v>2</v>
      </c>
      <c r="J6" s="7"/>
      <c r="K6" s="4"/>
      <c r="L6" s="4"/>
      <c r="M6" s="4"/>
      <c r="N6" s="29">
        <v>2</v>
      </c>
      <c r="O6" s="30" t="s">
        <v>33</v>
      </c>
      <c r="P6" s="2"/>
      <c r="Q6" s="15"/>
      <c r="R6" s="2"/>
      <c r="S6" s="2"/>
      <c r="T6" s="2"/>
      <c r="U6" s="2"/>
    </row>
    <row r="7" spans="5:21" ht="82.5" customHeight="1" x14ac:dyDescent="0.2">
      <c r="E7" s="17"/>
      <c r="F7" s="16"/>
      <c r="G7" s="16"/>
      <c r="H7" s="32"/>
      <c r="J7" s="7"/>
      <c r="K7" s="4"/>
      <c r="L7" s="4"/>
      <c r="M7" s="4"/>
      <c r="N7" s="29">
        <v>2</v>
      </c>
      <c r="O7" s="30" t="s">
        <v>33</v>
      </c>
      <c r="P7" s="2"/>
      <c r="Q7" s="2"/>
      <c r="R7" s="2"/>
      <c r="S7" s="2"/>
      <c r="T7" s="2"/>
      <c r="U7" s="2"/>
    </row>
    <row r="8" spans="5:21" ht="82.5" customHeight="1" thickBot="1" x14ac:dyDescent="0.25">
      <c r="E8" s="50"/>
      <c r="F8" s="34"/>
      <c r="G8" s="34"/>
      <c r="H8" s="51">
        <v>2048</v>
      </c>
      <c r="J8" s="8"/>
      <c r="K8" s="9"/>
      <c r="L8" s="9"/>
      <c r="M8" s="9"/>
      <c r="N8" s="27"/>
      <c r="O8" s="28"/>
      <c r="P8" s="2"/>
      <c r="Q8" s="2"/>
      <c r="R8" s="2"/>
      <c r="S8" s="2"/>
      <c r="T8" s="2"/>
      <c r="U8" s="2"/>
    </row>
    <row r="9" spans="5:21" ht="16" thickTop="1" x14ac:dyDescent="0.2">
      <c r="J9" s="2"/>
      <c r="K9" s="2"/>
      <c r="L9" s="2"/>
      <c r="M9" s="2"/>
      <c r="N9" s="2"/>
      <c r="O9" s="2"/>
      <c r="P9" s="2"/>
      <c r="Q9" s="2"/>
      <c r="R9" s="2"/>
      <c r="S9" s="2"/>
      <c r="T9" s="2"/>
      <c r="U9" s="2"/>
    </row>
    <row r="10" spans="5:21" ht="67.5" customHeight="1" x14ac:dyDescent="0.2">
      <c r="E10" s="36" t="s">
        <v>0</v>
      </c>
      <c r="F10" s="37"/>
      <c r="G10" s="38">
        <v>0</v>
      </c>
      <c r="J10" s="2"/>
      <c r="K10" s="2"/>
      <c r="L10" s="2"/>
      <c r="M10" s="2"/>
      <c r="N10" s="2"/>
      <c r="O10" s="2"/>
      <c r="P10" s="2"/>
      <c r="Q10" s="2"/>
      <c r="R10" s="2"/>
      <c r="S10" s="2"/>
      <c r="T10" s="2"/>
      <c r="U10" s="2"/>
    </row>
    <row r="11" spans="5:21" ht="65" customHeight="1" x14ac:dyDescent="0.2">
      <c r="E11" s="36" t="s">
        <v>1</v>
      </c>
      <c r="F11" s="37"/>
      <c r="G11" s="38">
        <f>MAX($E$5:$H$8)</f>
        <v>2048</v>
      </c>
      <c r="J11" s="2"/>
      <c r="K11" s="2"/>
      <c r="L11" s="2"/>
      <c r="M11" s="2"/>
      <c r="N11" s="2"/>
      <c r="O11" s="2"/>
      <c r="P11" s="2"/>
      <c r="Q11" s="2"/>
      <c r="R11" s="2"/>
      <c r="S11" s="2"/>
      <c r="T11" s="2"/>
      <c r="U11" s="2"/>
    </row>
    <row r="12" spans="5:21" x14ac:dyDescent="0.2">
      <c r="J12" s="2"/>
      <c r="K12" s="2"/>
      <c r="L12" s="2"/>
      <c r="M12" s="2"/>
      <c r="N12" s="2"/>
      <c r="O12" s="2"/>
      <c r="P12" s="2"/>
      <c r="Q12" s="2"/>
      <c r="R12" s="2"/>
      <c r="S12" s="2"/>
      <c r="T12" s="2"/>
      <c r="U12" s="2"/>
    </row>
    <row r="13" spans="5:21" x14ac:dyDescent="0.2">
      <c r="J13" s="2"/>
      <c r="K13" s="2"/>
      <c r="L13" s="2"/>
      <c r="M13" s="2"/>
      <c r="N13" s="2"/>
      <c r="O13" s="2"/>
      <c r="P13" s="2"/>
      <c r="Q13" s="2"/>
      <c r="R13" s="2"/>
      <c r="S13" s="2"/>
      <c r="T13" s="2"/>
      <c r="U13" s="2"/>
    </row>
    <row r="14" spans="5:21" x14ac:dyDescent="0.2">
      <c r="J14" s="2"/>
      <c r="K14" s="2"/>
      <c r="L14" s="2"/>
      <c r="M14" s="2"/>
      <c r="N14" s="2"/>
      <c r="O14" s="2"/>
      <c r="P14" s="2"/>
      <c r="Q14" s="2"/>
      <c r="R14" s="2"/>
      <c r="S14" s="2"/>
      <c r="T14" s="2"/>
      <c r="U14" s="2"/>
    </row>
    <row r="15" spans="5:21" x14ac:dyDescent="0.2">
      <c r="H15" s="23"/>
      <c r="I15" s="23"/>
      <c r="J15" s="2"/>
      <c r="K15" s="2"/>
      <c r="L15" s="2"/>
      <c r="M15" s="2"/>
      <c r="N15" s="2"/>
      <c r="O15" s="2"/>
      <c r="P15" s="2"/>
      <c r="Q15" s="2"/>
      <c r="R15" s="2"/>
      <c r="S15" s="2"/>
      <c r="T15" s="2"/>
      <c r="U15" s="2"/>
    </row>
    <row r="16" spans="5:21" x14ac:dyDescent="0.2">
      <c r="H16" s="23"/>
      <c r="I16" s="23"/>
      <c r="J16" s="2"/>
      <c r="K16" s="2"/>
      <c r="L16" s="2"/>
      <c r="M16" s="2"/>
      <c r="N16" s="2"/>
      <c r="O16" s="2"/>
      <c r="P16" s="2"/>
      <c r="Q16" s="2"/>
      <c r="R16" s="2"/>
      <c r="S16" s="2"/>
      <c r="T16" s="2"/>
      <c r="U16" s="2"/>
    </row>
    <row r="17" spans="8:21" x14ac:dyDescent="0.2">
      <c r="H17" s="23"/>
      <c r="I17" s="23"/>
      <c r="J17" s="2"/>
      <c r="K17" s="2"/>
      <c r="L17" s="2"/>
      <c r="M17" s="2"/>
      <c r="N17" s="2"/>
      <c r="O17" s="2"/>
      <c r="P17" s="2"/>
      <c r="Q17" s="2"/>
      <c r="R17" s="2"/>
      <c r="S17" s="2"/>
      <c r="T17" s="2"/>
      <c r="U17" s="2"/>
    </row>
    <row r="18" spans="8:21" x14ac:dyDescent="0.2">
      <c r="H18" s="23"/>
      <c r="I18" s="23"/>
      <c r="J18" s="2"/>
      <c r="K18" s="2"/>
      <c r="L18" s="2"/>
      <c r="M18" s="2"/>
      <c r="N18" s="2"/>
      <c r="O18" s="2"/>
      <c r="P18" s="2"/>
      <c r="Q18" s="2"/>
      <c r="R18" s="2"/>
      <c r="S18" s="2"/>
      <c r="T18" s="2"/>
      <c r="U18" s="2"/>
    </row>
    <row r="19" spans="8:21" x14ac:dyDescent="0.2">
      <c r="H19" s="23"/>
      <c r="I19" s="23"/>
      <c r="J19" s="23"/>
      <c r="K19" s="23"/>
      <c r="L19" s="23"/>
      <c r="M19" s="23"/>
      <c r="N19" s="23"/>
      <c r="O19" s="23"/>
      <c r="P19" s="23"/>
      <c r="Q19" s="23"/>
      <c r="R19" s="23"/>
      <c r="S19" s="23"/>
    </row>
    <row r="20" spans="8:21" ht="29" x14ac:dyDescent="0.35">
      <c r="H20" s="23"/>
      <c r="I20" s="23"/>
      <c r="J20" s="24"/>
      <c r="K20" s="23"/>
      <c r="L20" s="23"/>
      <c r="M20" s="23"/>
      <c r="N20" s="23"/>
      <c r="O20" s="23"/>
      <c r="P20" s="23"/>
      <c r="Q20" s="23"/>
      <c r="R20" s="23"/>
      <c r="S20" s="23"/>
    </row>
    <row r="21" spans="8:21" x14ac:dyDescent="0.2">
      <c r="H21" s="23"/>
      <c r="I21" s="23"/>
      <c r="J21" s="23"/>
      <c r="K21" s="23"/>
      <c r="L21" s="23"/>
      <c r="M21" s="23"/>
      <c r="N21" s="23"/>
      <c r="O21" s="23"/>
      <c r="P21" s="23"/>
      <c r="Q21" s="23"/>
      <c r="R21" s="23"/>
      <c r="S21" s="23"/>
    </row>
    <row r="22" spans="8:21" x14ac:dyDescent="0.2">
      <c r="H22" s="23"/>
      <c r="I22" s="23"/>
      <c r="J22" s="23"/>
      <c r="K22" s="23"/>
      <c r="L22" s="23"/>
      <c r="M22" s="23"/>
      <c r="N22" s="23"/>
      <c r="O22" s="23"/>
      <c r="P22" s="23"/>
      <c r="Q22" s="23"/>
      <c r="R22" s="23"/>
      <c r="S22" s="23"/>
    </row>
    <row r="23" spans="8:21" x14ac:dyDescent="0.2">
      <c r="H23" s="23"/>
      <c r="I23" s="23"/>
      <c r="J23" s="23"/>
      <c r="K23" s="23"/>
      <c r="L23" s="23"/>
      <c r="M23" s="23"/>
      <c r="N23" s="23"/>
      <c r="O23" s="23"/>
      <c r="P23" s="23"/>
      <c r="Q23" s="23"/>
      <c r="R23" s="23"/>
      <c r="S23" s="23"/>
    </row>
    <row r="24" spans="8:21" x14ac:dyDescent="0.2">
      <c r="H24" s="23"/>
      <c r="I24" s="23"/>
      <c r="J24" s="23"/>
      <c r="K24" s="23"/>
      <c r="L24" s="23"/>
      <c r="M24" s="23"/>
      <c r="N24" s="23"/>
      <c r="O24" s="23"/>
      <c r="P24" s="23"/>
      <c r="Q24" s="23"/>
      <c r="R24" s="23"/>
      <c r="S24" s="23"/>
    </row>
    <row r="25" spans="8:21" x14ac:dyDescent="0.2">
      <c r="H25" s="23"/>
      <c r="I25" s="23"/>
      <c r="J25" s="23"/>
      <c r="K25" s="23"/>
      <c r="L25" s="23"/>
      <c r="M25" s="23"/>
      <c r="N25" s="23"/>
      <c r="O25" s="23"/>
      <c r="P25" s="23"/>
      <c r="Q25" s="23"/>
      <c r="R25" s="23"/>
      <c r="S25" s="23"/>
    </row>
    <row r="26" spans="8:21" x14ac:dyDescent="0.2">
      <c r="H26" s="23"/>
      <c r="I26" s="23"/>
      <c r="J26" s="23"/>
      <c r="K26" s="23"/>
      <c r="L26" s="23"/>
      <c r="M26" s="23"/>
      <c r="N26" s="23"/>
      <c r="O26" s="23"/>
      <c r="P26" s="23"/>
      <c r="Q26" s="23"/>
      <c r="R26" s="23"/>
      <c r="S26" s="23"/>
    </row>
    <row r="27" spans="8:21" x14ac:dyDescent="0.2">
      <c r="H27" s="23"/>
      <c r="I27" s="23"/>
      <c r="J27" s="23"/>
      <c r="K27" s="23"/>
      <c r="L27" s="23"/>
      <c r="M27" s="23"/>
      <c r="N27" s="23"/>
      <c r="O27" s="23"/>
      <c r="P27" s="23"/>
      <c r="Q27" s="23"/>
      <c r="R27" s="23"/>
      <c r="S27" s="23"/>
    </row>
    <row r="28" spans="8:21" x14ac:dyDescent="0.2">
      <c r="H28" s="23"/>
      <c r="I28" s="23"/>
      <c r="J28" s="23"/>
      <c r="K28" s="23"/>
      <c r="L28" s="23"/>
      <c r="M28" s="23"/>
      <c r="N28" s="23"/>
      <c r="O28" s="23"/>
      <c r="P28" s="23"/>
      <c r="Q28" s="23"/>
      <c r="R28" s="23"/>
      <c r="S28" s="23"/>
    </row>
    <row r="29" spans="8:21" x14ac:dyDescent="0.2">
      <c r="H29" s="23"/>
      <c r="I29" s="23"/>
      <c r="J29" s="23"/>
      <c r="K29" s="23"/>
      <c r="L29" s="23"/>
      <c r="M29" s="23"/>
      <c r="N29" s="23"/>
      <c r="O29" s="23"/>
      <c r="P29" s="23"/>
      <c r="Q29" s="23"/>
      <c r="R29" s="23"/>
      <c r="S29" s="23"/>
    </row>
    <row r="30" spans="8:21" x14ac:dyDescent="0.2">
      <c r="H30" s="23"/>
      <c r="I30" s="23"/>
      <c r="J30" s="23"/>
      <c r="K30" s="23"/>
      <c r="L30" s="23"/>
      <c r="M30" s="23"/>
      <c r="N30" s="23"/>
      <c r="O30" s="23"/>
      <c r="P30" s="23"/>
      <c r="Q30" s="23"/>
      <c r="R30" s="23"/>
      <c r="S30" s="23"/>
    </row>
    <row r="31" spans="8:21" x14ac:dyDescent="0.2">
      <c r="H31" s="23"/>
      <c r="I31" s="23"/>
      <c r="J31" s="23"/>
      <c r="K31" s="23"/>
      <c r="L31" s="23"/>
      <c r="M31" s="23"/>
      <c r="N31" s="23"/>
      <c r="O31" s="23"/>
      <c r="P31" s="23"/>
      <c r="Q31" s="23"/>
      <c r="R31" s="23"/>
      <c r="S31" s="23"/>
    </row>
    <row r="32" spans="8:21" x14ac:dyDescent="0.2">
      <c r="H32" s="23"/>
      <c r="I32" s="23"/>
      <c r="J32" s="23"/>
      <c r="K32" s="23"/>
      <c r="L32" s="23"/>
      <c r="M32" s="23"/>
      <c r="N32" s="23"/>
      <c r="O32" s="23"/>
      <c r="P32" s="23"/>
      <c r="Q32" s="23"/>
      <c r="R32" s="23"/>
      <c r="S32" s="23"/>
    </row>
    <row r="33" spans="8:19" x14ac:dyDescent="0.2">
      <c r="H33" s="23"/>
      <c r="I33" s="23"/>
      <c r="J33" s="23"/>
      <c r="K33" s="23"/>
      <c r="L33" s="23"/>
      <c r="M33" s="23"/>
      <c r="N33" s="23"/>
      <c r="O33" s="23"/>
      <c r="P33" s="23"/>
      <c r="Q33" s="23"/>
      <c r="R33" s="23"/>
      <c r="S33" s="23"/>
    </row>
    <row r="34" spans="8:19" x14ac:dyDescent="0.2">
      <c r="H34" s="23"/>
      <c r="I34" s="23"/>
      <c r="J34" s="23"/>
      <c r="K34" s="23"/>
      <c r="L34" s="23"/>
      <c r="M34" s="23"/>
      <c r="N34" s="23"/>
      <c r="O34" s="23"/>
      <c r="P34" s="23"/>
      <c r="Q34" s="23"/>
      <c r="R34" s="23"/>
      <c r="S34" s="23"/>
    </row>
    <row r="35" spans="8:19" x14ac:dyDescent="0.2">
      <c r="H35" s="23"/>
      <c r="I35" s="23"/>
      <c r="J35" s="23"/>
      <c r="K35" s="23"/>
      <c r="L35" s="23"/>
      <c r="M35" s="23"/>
      <c r="N35" s="23"/>
      <c r="O35" s="23"/>
      <c r="P35" s="23"/>
      <c r="Q35" s="23"/>
      <c r="R35" s="23"/>
      <c r="S35" s="2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reset">
                <anchor moveWithCells="1" sizeWithCells="1">
                  <from>
                    <xdr:col>9</xdr:col>
                    <xdr:colOff>177800</xdr:colOff>
                    <xdr:row>4</xdr:row>
                    <xdr:rowOff>330200</xdr:rowOff>
                  </from>
                  <to>
                    <xdr:col>11</xdr:col>
                    <xdr:colOff>546100</xdr:colOff>
                    <xdr:row>4</xdr:row>
                    <xdr:rowOff>787400</xdr:rowOff>
                  </to>
                </anchor>
              </controlPr>
            </control>
          </mc:Choice>
          <mc:Fallback/>
        </mc:AlternateContent>
        <mc:AlternateContent xmlns:mc="http://schemas.openxmlformats.org/markup-compatibility/2006">
          <mc:Choice Requires="x14">
            <control shapeId="1034" r:id="rId5" name="Button 10">
              <controlPr defaultSize="0" print="0" disabled="1" autoFill="0" autoPict="0" macro="[0]!freeTile">
                <anchor moveWithCells="1" sizeWithCells="1">
                  <from>
                    <xdr:col>9</xdr:col>
                    <xdr:colOff>215900</xdr:colOff>
                    <xdr:row>5</xdr:row>
                    <xdr:rowOff>266700</xdr:rowOff>
                  </from>
                  <to>
                    <xdr:col>11</xdr:col>
                    <xdr:colOff>558800</xdr:colOff>
                    <xdr:row>5</xdr:row>
                    <xdr:rowOff>736600</xdr:rowOff>
                  </to>
                </anchor>
              </controlPr>
            </control>
          </mc:Choice>
          <mc:Fallback/>
        </mc:AlternateContent>
        <mc:AlternateContent xmlns:mc="http://schemas.openxmlformats.org/markup-compatibility/2006">
          <mc:Choice Requires="x14">
            <control shapeId="1036" r:id="rId6" name="Button 12">
              <controlPr defaultSize="0" print="0" autoFill="0" autoPict="0" macro="[0]!undomove2">
                <anchor moveWithCells="1" sizeWithCells="1">
                  <from>
                    <xdr:col>9</xdr:col>
                    <xdr:colOff>203200</xdr:colOff>
                    <xdr:row>6</xdr:row>
                    <xdr:rowOff>279400</xdr:rowOff>
                  </from>
                  <to>
                    <xdr:col>11</xdr:col>
                    <xdr:colOff>558800</xdr:colOff>
                    <xdr:row>6</xdr:row>
                    <xdr:rowOff>749300</xdr:rowOff>
                  </to>
                </anchor>
              </controlPr>
            </control>
          </mc:Choice>
          <mc:Fallback/>
        </mc:AlternateContent>
        <mc:AlternateContent xmlns:mc="http://schemas.openxmlformats.org/markup-compatibility/2006">
          <mc:Choice Requires="x14">
            <control shapeId="1041" r:id="rId7" name="Button 17">
              <controlPr defaultSize="0" print="0" autoFill="0" autoPict="0" macro="[0]!hint">
                <anchor moveWithCells="1" sizeWithCells="1">
                  <from>
                    <xdr:col>9</xdr:col>
                    <xdr:colOff>228600</xdr:colOff>
                    <xdr:row>7</xdr:row>
                    <xdr:rowOff>393700</xdr:rowOff>
                  </from>
                  <to>
                    <xdr:col>11</xdr:col>
                    <xdr:colOff>571500</xdr:colOff>
                    <xdr:row>7</xdr:row>
                    <xdr:rowOff>838200</xdr:rowOff>
                  </to>
                </anchor>
              </controlPr>
            </control>
          </mc:Choice>
          <mc:Fallback/>
        </mc:AlternateContent>
        <mc:AlternateContent xmlns:mc="http://schemas.openxmlformats.org/markup-compatibility/2006">
          <mc:Choice Requires="x14">
            <control shapeId="1042" r:id="rId8" name="Button 18">
              <controlPr defaultSize="0" print="0" autoFill="0" autoPict="0" macro="[0]!autosolve">
                <anchor moveWithCells="1" sizeWithCells="1">
                  <from>
                    <xdr:col>12</xdr:col>
                    <xdr:colOff>177800</xdr:colOff>
                    <xdr:row>7</xdr:row>
                    <xdr:rowOff>393700</xdr:rowOff>
                  </from>
                  <to>
                    <xdr:col>14</xdr:col>
                    <xdr:colOff>850900</xdr:colOff>
                    <xdr:row>7</xdr:row>
                    <xdr:rowOff>838200</xdr:rowOff>
                  </to>
                </anchor>
              </controlPr>
            </control>
          </mc:Choice>
          <mc:Fallback/>
        </mc:AlternateContent>
        <mc:AlternateContent xmlns:mc="http://schemas.openxmlformats.org/markup-compatibility/2006">
          <mc:Choice Requires="x14">
            <control shapeId="1044" r:id="rId9" name="Button 20">
              <controlPr defaultSize="0" print="0" autoFill="0" autoPict="0" macro="[0]!GoToMenu">
                <anchor moveWithCells="1" sizeWithCells="1">
                  <from>
                    <xdr:col>18</xdr:col>
                    <xdr:colOff>558800</xdr:colOff>
                    <xdr:row>1</xdr:row>
                    <xdr:rowOff>787400</xdr:rowOff>
                  </from>
                  <to>
                    <xdr:col>21</xdr:col>
                    <xdr:colOff>469900</xdr:colOff>
                    <xdr:row>3</xdr:row>
                    <xdr:rowOff>254000</xdr:rowOff>
                  </to>
                </anchor>
              </controlPr>
            </control>
          </mc:Choice>
          <mc:Fallback/>
        </mc:AlternateContent>
      </controls>
    </mc:Choice>
    <mc:Fallback/>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G5:L11"/>
  <sheetViews>
    <sheetView showGridLines="0" zoomScale="115" zoomScaleNormal="115" zoomScalePageLayoutView="115" workbookViewId="0">
      <selection activeCell="Y23" sqref="Y23"/>
    </sheetView>
  </sheetViews>
  <sheetFormatPr baseColWidth="10" defaultColWidth="9.1640625" defaultRowHeight="15" x14ac:dyDescent="0.2"/>
  <cols>
    <col min="1" max="25" width="8.6640625" style="44" customWidth="1"/>
    <col min="26" max="16384" width="9.1640625" style="44"/>
  </cols>
  <sheetData>
    <row r="5" spans="7:12" ht="47" x14ac:dyDescent="0.55000000000000004">
      <c r="G5" s="45"/>
      <c r="K5" s="46"/>
    </row>
    <row r="9" spans="7:12" ht="72.75" customHeight="1" x14ac:dyDescent="0.2"/>
    <row r="10" spans="7:12" ht="24" x14ac:dyDescent="0.3">
      <c r="H10" s="47" t="s">
        <v>2</v>
      </c>
      <c r="J10" s="48"/>
      <c r="K10" s="48"/>
      <c r="L10" s="49">
        <f>Board!G11</f>
        <v>2048</v>
      </c>
    </row>
    <row r="11" spans="7:12" ht="24" x14ac:dyDescent="0.3">
      <c r="H11" s="47" t="s">
        <v>3</v>
      </c>
      <c r="J11" s="48"/>
      <c r="K11" s="48"/>
      <c r="L11" s="49">
        <f>Board!G10</f>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PlayAgain">
                <anchor moveWithCells="1" sizeWithCells="1">
                  <from>
                    <xdr:col>8</xdr:col>
                    <xdr:colOff>139700</xdr:colOff>
                    <xdr:row>18</xdr:row>
                    <xdr:rowOff>139700</xdr:rowOff>
                  </from>
                  <to>
                    <xdr:col>11</xdr:col>
                    <xdr:colOff>457200</xdr:colOff>
                    <xdr:row>22</xdr:row>
                    <xdr:rowOff>50800</xdr:rowOff>
                  </to>
                </anchor>
              </controlPr>
            </control>
          </mc:Choice>
          <mc:Fallback/>
        </mc:AlternateContent>
      </controls>
    </mc:Choice>
    <mc:Fallback/>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H6:L11"/>
  <sheetViews>
    <sheetView showGridLines="0" zoomScale="115" zoomScaleNormal="115" zoomScalePageLayoutView="115" workbookViewId="0">
      <selection activeCell="P10" sqref="P10"/>
    </sheetView>
  </sheetViews>
  <sheetFormatPr baseColWidth="10" defaultColWidth="9.1640625" defaultRowHeight="15" x14ac:dyDescent="0.2"/>
  <cols>
    <col min="1" max="10" width="8.6640625" style="39" customWidth="1"/>
    <col min="11" max="11" width="10.5" style="39" customWidth="1"/>
    <col min="12" max="24" width="8.6640625" style="39" customWidth="1"/>
    <col min="25" max="16384" width="9.1640625" style="39"/>
  </cols>
  <sheetData>
    <row r="6" spans="8:12" ht="62" x14ac:dyDescent="0.2">
      <c r="K6" s="40"/>
    </row>
    <row r="8" spans="8:12" x14ac:dyDescent="0.2">
      <c r="J8" s="41"/>
      <c r="K8" s="41"/>
      <c r="L8" s="41"/>
    </row>
    <row r="9" spans="8:12" ht="72" customHeight="1" x14ac:dyDescent="0.2">
      <c r="J9" s="41"/>
      <c r="K9" s="41"/>
    </row>
    <row r="10" spans="8:12" ht="24" x14ac:dyDescent="0.3">
      <c r="H10" s="42" t="s">
        <v>2</v>
      </c>
      <c r="L10" s="43">
        <f>Board!G11</f>
        <v>2048</v>
      </c>
    </row>
    <row r="11" spans="8:12" ht="24" x14ac:dyDescent="0.3">
      <c r="H11" s="42" t="s">
        <v>0</v>
      </c>
      <c r="L11" s="43">
        <f>Board!G10</f>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PlayAgain">
                <anchor moveWithCells="1" sizeWithCells="1">
                  <from>
                    <xdr:col>8</xdr:col>
                    <xdr:colOff>12700</xdr:colOff>
                    <xdr:row>17</xdr:row>
                    <xdr:rowOff>152400</xdr:rowOff>
                  </from>
                  <to>
                    <xdr:col>11</xdr:col>
                    <xdr:colOff>520700</xdr:colOff>
                    <xdr:row>21</xdr:row>
                    <xdr:rowOff>50800</xdr:rowOff>
                  </to>
                </anchor>
              </controlPr>
            </control>
          </mc:Choice>
          <mc:Fallback/>
        </mc:AlternateContent>
      </controls>
    </mc:Choice>
    <mc:Fallback/>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B1:F197"/>
  <sheetViews>
    <sheetView showGridLines="0" zoomScale="115" zoomScaleNormal="115" zoomScalePageLayoutView="115" workbookViewId="0">
      <selection activeCell="D9" sqref="D9"/>
    </sheetView>
  </sheetViews>
  <sheetFormatPr baseColWidth="10" defaultColWidth="8.6640625" defaultRowHeight="19" x14ac:dyDescent="0.25"/>
  <cols>
    <col min="1" max="1" width="21.1640625" style="12" customWidth="1"/>
    <col min="2" max="2" width="39.33203125" style="52" customWidth="1"/>
    <col min="3" max="3" width="33.83203125" style="52" customWidth="1"/>
    <col min="4" max="4" width="35" style="52" customWidth="1"/>
    <col min="5" max="5" width="14.6640625" style="52" customWidth="1"/>
    <col min="6" max="12" width="8.6640625" style="12" customWidth="1"/>
    <col min="13" max="16384" width="8.6640625" style="12"/>
  </cols>
  <sheetData>
    <row r="1" spans="2:6" ht="15" x14ac:dyDescent="0.2">
      <c r="B1" s="12"/>
      <c r="C1" s="12"/>
      <c r="D1" s="12"/>
      <c r="E1" s="12"/>
    </row>
    <row r="2" spans="2:6" ht="47" x14ac:dyDescent="0.55000000000000004">
      <c r="B2" s="11"/>
      <c r="C2" s="12"/>
      <c r="D2" s="12"/>
      <c r="E2" s="12"/>
    </row>
    <row r="3" spans="2:6" ht="15" x14ac:dyDescent="0.2">
      <c r="B3" s="12"/>
      <c r="C3" s="12"/>
      <c r="D3" s="12"/>
      <c r="E3" s="12"/>
    </row>
    <row r="4" spans="2:6" ht="60" customHeight="1" x14ac:dyDescent="0.2">
      <c r="B4" s="12"/>
      <c r="C4" s="12"/>
      <c r="D4" s="12"/>
      <c r="E4" s="10"/>
    </row>
    <row r="5" spans="2:6" ht="25" thickBot="1" x14ac:dyDescent="0.35">
      <c r="B5" s="14" t="s">
        <v>4</v>
      </c>
      <c r="C5" s="19" t="s">
        <v>5</v>
      </c>
      <c r="D5" s="13" t="s">
        <v>0</v>
      </c>
      <c r="E5" s="13" t="s">
        <v>35</v>
      </c>
    </row>
    <row r="6" spans="2:6" ht="25.5" customHeight="1" thickTop="1" x14ac:dyDescent="0.25">
      <c r="B6" s="20" t="s">
        <v>37</v>
      </c>
      <c r="C6" s="20">
        <v>2048</v>
      </c>
      <c r="D6" s="22">
        <v>389</v>
      </c>
      <c r="E6" s="53" t="s">
        <v>36</v>
      </c>
      <c r="F6" s="21"/>
    </row>
    <row r="7" spans="2:6" ht="25.5" customHeight="1" x14ac:dyDescent="0.25">
      <c r="B7" s="20" t="s">
        <v>38</v>
      </c>
      <c r="C7" s="20">
        <v>2048</v>
      </c>
      <c r="D7" s="22">
        <v>402</v>
      </c>
      <c r="E7" s="53" t="s">
        <v>36</v>
      </c>
      <c r="F7" s="21"/>
    </row>
    <row r="8" spans="2:6" ht="25.5" customHeight="1" x14ac:dyDescent="0.25">
      <c r="B8" s="20" t="s">
        <v>39</v>
      </c>
      <c r="C8" s="20">
        <v>512</v>
      </c>
      <c r="D8" s="52">
        <v>346</v>
      </c>
      <c r="E8" s="52" t="s">
        <v>40</v>
      </c>
      <c r="F8" s="21"/>
    </row>
    <row r="9" spans="2:6" ht="25.5" customHeight="1" x14ac:dyDescent="0.25">
      <c r="B9" s="20"/>
      <c r="C9" s="20"/>
      <c r="D9" s="22"/>
      <c r="E9" s="53"/>
      <c r="F9" s="21"/>
    </row>
    <row r="10" spans="2:6" ht="25.5" customHeight="1" x14ac:dyDescent="0.25">
      <c r="B10" s="20"/>
      <c r="C10" s="20"/>
      <c r="D10" s="22"/>
      <c r="E10" s="53"/>
      <c r="F10" s="21"/>
    </row>
    <row r="11" spans="2:6" ht="25.5" customHeight="1" x14ac:dyDescent="0.25">
      <c r="B11" s="20"/>
      <c r="C11" s="20"/>
      <c r="D11" s="22"/>
      <c r="E11" s="53"/>
      <c r="F11" s="21"/>
    </row>
    <row r="12" spans="2:6" ht="25.5" customHeight="1" x14ac:dyDescent="0.25">
      <c r="B12" s="20"/>
      <c r="C12" s="20"/>
      <c r="D12" s="22"/>
      <c r="E12" s="53"/>
      <c r="F12" s="21"/>
    </row>
    <row r="13" spans="2:6" ht="25.5" customHeight="1" x14ac:dyDescent="0.25">
      <c r="B13" s="20"/>
      <c r="C13" s="20"/>
      <c r="D13" s="22"/>
      <c r="E13" s="53"/>
      <c r="F13" s="21"/>
    </row>
    <row r="14" spans="2:6" ht="25.5" customHeight="1" x14ac:dyDescent="0.25">
      <c r="B14" s="20"/>
      <c r="C14" s="20"/>
      <c r="D14" s="22"/>
      <c r="E14" s="53"/>
      <c r="F14" s="21"/>
    </row>
    <row r="15" spans="2:6" ht="25.5" customHeight="1" x14ac:dyDescent="0.25">
      <c r="B15" s="20"/>
      <c r="C15" s="20"/>
      <c r="D15" s="22"/>
      <c r="E15" s="53"/>
      <c r="F15" s="21"/>
    </row>
    <row r="16" spans="2:6" ht="25.5" customHeight="1" x14ac:dyDescent="0.25">
      <c r="B16" s="20"/>
      <c r="C16" s="20"/>
      <c r="D16" s="22"/>
      <c r="E16" s="53"/>
      <c r="F16" s="21"/>
    </row>
    <row r="17" spans="2:6" ht="25.5" customHeight="1" x14ac:dyDescent="0.25">
      <c r="B17" s="20"/>
      <c r="C17" s="20"/>
      <c r="D17" s="22"/>
      <c r="E17" s="53"/>
      <c r="F17" s="21"/>
    </row>
    <row r="18" spans="2:6" ht="25.5" customHeight="1" x14ac:dyDescent="0.25">
      <c r="B18" s="20"/>
      <c r="C18" s="20"/>
      <c r="D18" s="22"/>
      <c r="E18" s="53"/>
      <c r="F18" s="21"/>
    </row>
    <row r="19" spans="2:6" ht="25.5" customHeight="1" x14ac:dyDescent="0.25">
      <c r="B19" s="20"/>
      <c r="C19" s="20"/>
      <c r="D19" s="22"/>
      <c r="E19" s="53"/>
      <c r="F19" s="21"/>
    </row>
    <row r="20" spans="2:6" ht="25.5" customHeight="1" x14ac:dyDescent="0.25">
      <c r="B20" s="20"/>
      <c r="C20" s="20"/>
      <c r="D20" s="22"/>
      <c r="E20" s="53"/>
      <c r="F20" s="21"/>
    </row>
    <row r="21" spans="2:6" ht="25.5" customHeight="1" x14ac:dyDescent="0.25">
      <c r="B21" s="20"/>
      <c r="C21" s="20"/>
      <c r="D21" s="22"/>
      <c r="E21" s="53"/>
      <c r="F21" s="21"/>
    </row>
    <row r="22" spans="2:6" ht="25.5" customHeight="1" x14ac:dyDescent="0.25">
      <c r="B22" s="20"/>
      <c r="C22" s="20"/>
      <c r="D22" s="22"/>
      <c r="E22" s="53"/>
      <c r="F22" s="21"/>
    </row>
    <row r="23" spans="2:6" ht="25.5" customHeight="1" x14ac:dyDescent="0.25">
      <c r="B23" s="20"/>
      <c r="C23" s="20"/>
      <c r="D23" s="22"/>
      <c r="E23" s="53"/>
      <c r="F23" s="21"/>
    </row>
    <row r="24" spans="2:6" ht="25.5" customHeight="1" x14ac:dyDescent="0.25">
      <c r="B24" s="20"/>
      <c r="C24" s="20"/>
      <c r="D24" s="22"/>
      <c r="E24" s="53"/>
      <c r="F24" s="21"/>
    </row>
    <row r="25" spans="2:6" ht="25.5" customHeight="1" x14ac:dyDescent="0.25">
      <c r="B25" s="20"/>
      <c r="C25" s="20"/>
      <c r="D25" s="22"/>
      <c r="E25" s="53"/>
      <c r="F25" s="21"/>
    </row>
    <row r="26" spans="2:6" ht="25.5" customHeight="1" x14ac:dyDescent="0.25">
      <c r="B26" s="20"/>
      <c r="C26" s="20"/>
      <c r="D26" s="22"/>
      <c r="E26" s="53"/>
      <c r="F26" s="21"/>
    </row>
    <row r="27" spans="2:6" ht="25.5" customHeight="1" x14ac:dyDescent="0.25">
      <c r="B27" s="20"/>
      <c r="C27" s="20"/>
      <c r="D27" s="22"/>
      <c r="E27" s="53"/>
      <c r="F27" s="21"/>
    </row>
    <row r="28" spans="2:6" ht="25.5" customHeight="1" x14ac:dyDescent="0.25">
      <c r="B28" s="20"/>
      <c r="C28" s="20"/>
      <c r="D28" s="22"/>
      <c r="E28" s="53"/>
      <c r="F28" s="21"/>
    </row>
    <row r="29" spans="2:6" ht="25.5" customHeight="1" x14ac:dyDescent="0.25">
      <c r="B29" s="20"/>
      <c r="C29" s="20"/>
      <c r="D29" s="22"/>
      <c r="E29" s="53"/>
      <c r="F29" s="21"/>
    </row>
    <row r="30" spans="2:6" x14ac:dyDescent="0.25">
      <c r="B30" s="20"/>
      <c r="C30" s="20"/>
      <c r="D30" s="22"/>
      <c r="E30" s="53"/>
      <c r="F30" s="21"/>
    </row>
    <row r="31" spans="2:6" x14ac:dyDescent="0.25">
      <c r="B31" s="20"/>
      <c r="C31" s="20"/>
      <c r="D31" s="22"/>
      <c r="E31" s="53"/>
      <c r="F31" s="21"/>
    </row>
    <row r="32" spans="2:6" x14ac:dyDescent="0.25">
      <c r="B32" s="20"/>
      <c r="C32" s="20"/>
      <c r="D32" s="22"/>
      <c r="E32" s="53"/>
      <c r="F32" s="21"/>
    </row>
    <row r="33" spans="2:6" x14ac:dyDescent="0.25">
      <c r="B33" s="20"/>
      <c r="C33" s="20"/>
      <c r="D33" s="22"/>
      <c r="E33" s="53"/>
      <c r="F33" s="21"/>
    </row>
    <row r="34" spans="2:6" x14ac:dyDescent="0.25">
      <c r="B34" s="20"/>
      <c r="C34" s="20"/>
      <c r="D34" s="22"/>
      <c r="E34" s="53"/>
      <c r="F34" s="21"/>
    </row>
    <row r="35" spans="2:6" x14ac:dyDescent="0.25">
      <c r="B35" s="20"/>
      <c r="C35" s="20"/>
      <c r="D35" s="22"/>
      <c r="E35" s="53"/>
      <c r="F35" s="21"/>
    </row>
    <row r="36" spans="2:6" x14ac:dyDescent="0.25">
      <c r="B36" s="20"/>
      <c r="C36" s="20"/>
      <c r="D36" s="22"/>
      <c r="E36" s="53"/>
      <c r="F36" s="21"/>
    </row>
    <row r="37" spans="2:6" x14ac:dyDescent="0.25">
      <c r="B37" s="20"/>
      <c r="C37" s="20"/>
      <c r="D37" s="22"/>
      <c r="E37" s="53"/>
      <c r="F37" s="21"/>
    </row>
    <row r="38" spans="2:6" x14ac:dyDescent="0.25">
      <c r="B38" s="20"/>
      <c r="C38" s="20"/>
      <c r="D38" s="22"/>
      <c r="E38" s="53"/>
      <c r="F38" s="21"/>
    </row>
    <row r="39" spans="2:6" x14ac:dyDescent="0.25">
      <c r="B39" s="20"/>
      <c r="C39" s="20"/>
      <c r="D39" s="22"/>
      <c r="E39" s="53"/>
      <c r="F39" s="21"/>
    </row>
    <row r="40" spans="2:6" x14ac:dyDescent="0.25">
      <c r="B40" s="20"/>
      <c r="C40" s="20"/>
      <c r="D40" s="22"/>
      <c r="E40" s="53"/>
      <c r="F40" s="21"/>
    </row>
    <row r="41" spans="2:6" x14ac:dyDescent="0.25">
      <c r="B41" s="20"/>
      <c r="C41" s="20"/>
      <c r="D41" s="22"/>
      <c r="E41" s="53"/>
      <c r="F41" s="21"/>
    </row>
    <row r="42" spans="2:6" x14ac:dyDescent="0.25">
      <c r="B42" s="20"/>
      <c r="C42" s="20"/>
      <c r="D42" s="22"/>
      <c r="E42" s="53"/>
      <c r="F42" s="21"/>
    </row>
    <row r="43" spans="2:6" x14ac:dyDescent="0.25">
      <c r="B43" s="20"/>
      <c r="C43" s="20"/>
      <c r="D43" s="22"/>
      <c r="E43" s="53"/>
      <c r="F43" s="21"/>
    </row>
    <row r="44" spans="2:6" x14ac:dyDescent="0.25">
      <c r="B44" s="20"/>
      <c r="C44" s="20"/>
      <c r="D44" s="22"/>
      <c r="E44" s="53"/>
      <c r="F44" s="21"/>
    </row>
    <row r="45" spans="2:6" x14ac:dyDescent="0.25">
      <c r="B45" s="20"/>
      <c r="C45" s="20"/>
      <c r="D45" s="22"/>
      <c r="E45" s="53"/>
      <c r="F45" s="21"/>
    </row>
    <row r="46" spans="2:6" x14ac:dyDescent="0.25">
      <c r="B46" s="20"/>
      <c r="C46" s="20"/>
      <c r="D46" s="22"/>
      <c r="E46" s="53"/>
      <c r="F46" s="21"/>
    </row>
    <row r="47" spans="2:6" x14ac:dyDescent="0.25">
      <c r="B47" s="20"/>
      <c r="C47" s="20"/>
      <c r="D47" s="22"/>
      <c r="E47" s="53"/>
      <c r="F47" s="21"/>
    </row>
    <row r="48" spans="2:6" x14ac:dyDescent="0.25">
      <c r="B48" s="20"/>
      <c r="C48" s="20"/>
      <c r="D48" s="22"/>
      <c r="E48" s="53"/>
      <c r="F48" s="21"/>
    </row>
    <row r="49" spans="2:6" x14ac:dyDescent="0.25">
      <c r="B49" s="20"/>
      <c r="C49" s="20"/>
      <c r="D49" s="22"/>
      <c r="E49" s="53"/>
      <c r="F49" s="21"/>
    </row>
    <row r="50" spans="2:6" x14ac:dyDescent="0.25">
      <c r="B50" s="20"/>
      <c r="C50" s="20"/>
      <c r="D50" s="22"/>
      <c r="E50" s="53"/>
      <c r="F50" s="21"/>
    </row>
    <row r="51" spans="2:6" x14ac:dyDescent="0.25">
      <c r="B51" s="20"/>
      <c r="C51" s="20"/>
      <c r="D51" s="22"/>
      <c r="E51" s="53"/>
      <c r="F51" s="21"/>
    </row>
    <row r="52" spans="2:6" x14ac:dyDescent="0.25">
      <c r="B52" s="20"/>
      <c r="C52" s="20"/>
      <c r="D52" s="22"/>
      <c r="E52" s="53"/>
      <c r="F52" s="21"/>
    </row>
    <row r="53" spans="2:6" x14ac:dyDescent="0.25">
      <c r="B53" s="20"/>
      <c r="C53" s="20"/>
      <c r="D53" s="22"/>
      <c r="E53" s="53"/>
      <c r="F53" s="21"/>
    </row>
    <row r="54" spans="2:6" x14ac:dyDescent="0.25">
      <c r="B54" s="20"/>
      <c r="C54" s="20"/>
      <c r="D54" s="22"/>
      <c r="E54" s="53"/>
      <c r="F54" s="21"/>
    </row>
    <row r="55" spans="2:6" x14ac:dyDescent="0.25">
      <c r="B55" s="20"/>
      <c r="C55" s="20"/>
      <c r="D55" s="22"/>
      <c r="E55" s="53"/>
      <c r="F55" s="21"/>
    </row>
    <row r="56" spans="2:6" x14ac:dyDescent="0.25">
      <c r="B56" s="20"/>
      <c r="C56" s="20"/>
      <c r="D56" s="22"/>
      <c r="E56" s="53"/>
      <c r="F56" s="21"/>
    </row>
    <row r="57" spans="2:6" x14ac:dyDescent="0.25">
      <c r="B57" s="20"/>
      <c r="C57" s="20"/>
      <c r="D57" s="22"/>
      <c r="E57" s="53"/>
      <c r="F57" s="21"/>
    </row>
    <row r="58" spans="2:6" x14ac:dyDescent="0.25">
      <c r="B58" s="20"/>
      <c r="C58" s="20"/>
      <c r="D58" s="22"/>
      <c r="E58" s="53"/>
      <c r="F58" s="21"/>
    </row>
    <row r="59" spans="2:6" x14ac:dyDescent="0.25">
      <c r="B59" s="20"/>
      <c r="C59" s="20"/>
      <c r="D59" s="22"/>
      <c r="E59" s="53"/>
      <c r="F59" s="21"/>
    </row>
    <row r="60" spans="2:6" x14ac:dyDescent="0.25">
      <c r="B60" s="20"/>
      <c r="C60" s="20"/>
      <c r="D60" s="22"/>
      <c r="E60" s="53"/>
      <c r="F60" s="21"/>
    </row>
    <row r="61" spans="2:6" x14ac:dyDescent="0.25">
      <c r="B61" s="20"/>
      <c r="C61" s="20"/>
      <c r="D61" s="22"/>
      <c r="E61" s="53"/>
      <c r="F61" s="21"/>
    </row>
    <row r="62" spans="2:6" x14ac:dyDescent="0.25">
      <c r="B62" s="20"/>
      <c r="C62" s="20"/>
      <c r="D62" s="22"/>
      <c r="E62" s="53"/>
      <c r="F62" s="21"/>
    </row>
    <row r="63" spans="2:6" x14ac:dyDescent="0.25">
      <c r="B63" s="20"/>
      <c r="C63" s="20"/>
      <c r="D63" s="22"/>
      <c r="E63" s="53"/>
      <c r="F63" s="21"/>
    </row>
    <row r="64" spans="2:6" x14ac:dyDescent="0.25">
      <c r="B64" s="20"/>
      <c r="C64" s="20"/>
      <c r="D64" s="22"/>
      <c r="E64" s="53"/>
      <c r="F64" s="21"/>
    </row>
    <row r="65" spans="2:6" x14ac:dyDescent="0.25">
      <c r="B65" s="20"/>
      <c r="C65" s="20"/>
      <c r="D65" s="22"/>
      <c r="E65" s="53"/>
      <c r="F65" s="21"/>
    </row>
    <row r="66" spans="2:6" x14ac:dyDescent="0.25">
      <c r="B66" s="20"/>
      <c r="C66" s="20"/>
      <c r="D66" s="22"/>
      <c r="E66" s="53"/>
      <c r="F66" s="21"/>
    </row>
    <row r="67" spans="2:6" x14ac:dyDescent="0.25">
      <c r="B67" s="20"/>
      <c r="C67" s="20"/>
      <c r="D67" s="22"/>
      <c r="E67" s="53"/>
      <c r="F67" s="21"/>
    </row>
    <row r="68" spans="2:6" x14ac:dyDescent="0.25">
      <c r="B68" s="20"/>
      <c r="C68" s="20"/>
      <c r="D68" s="22"/>
      <c r="E68" s="53"/>
      <c r="F68" s="21"/>
    </row>
    <row r="69" spans="2:6" x14ac:dyDescent="0.25">
      <c r="B69" s="20"/>
      <c r="C69" s="20"/>
      <c r="D69" s="22"/>
      <c r="E69" s="53"/>
      <c r="F69" s="21"/>
    </row>
    <row r="70" spans="2:6" x14ac:dyDescent="0.25">
      <c r="B70" s="20"/>
      <c r="C70" s="20"/>
      <c r="D70" s="22"/>
      <c r="E70" s="53"/>
      <c r="F70" s="21"/>
    </row>
    <row r="71" spans="2:6" x14ac:dyDescent="0.25">
      <c r="B71" s="20"/>
      <c r="C71" s="20"/>
      <c r="D71" s="22"/>
      <c r="E71" s="53"/>
      <c r="F71" s="21"/>
    </row>
    <row r="72" spans="2:6" x14ac:dyDescent="0.25">
      <c r="B72" s="20"/>
      <c r="C72" s="20"/>
      <c r="D72" s="22"/>
      <c r="E72" s="53"/>
      <c r="F72" s="21"/>
    </row>
    <row r="73" spans="2:6" x14ac:dyDescent="0.25">
      <c r="B73" s="20"/>
      <c r="C73" s="20"/>
      <c r="D73" s="22"/>
      <c r="E73" s="53"/>
      <c r="F73" s="21"/>
    </row>
    <row r="74" spans="2:6" x14ac:dyDescent="0.25">
      <c r="B74" s="20"/>
      <c r="C74" s="20"/>
      <c r="D74" s="22"/>
      <c r="E74" s="53"/>
      <c r="F74" s="21"/>
    </row>
    <row r="75" spans="2:6" x14ac:dyDescent="0.25">
      <c r="B75" s="20"/>
      <c r="C75" s="20"/>
      <c r="D75" s="22"/>
      <c r="E75" s="53"/>
      <c r="F75" s="21"/>
    </row>
    <row r="76" spans="2:6" x14ac:dyDescent="0.25">
      <c r="B76" s="20"/>
      <c r="C76" s="20"/>
      <c r="D76" s="22"/>
      <c r="E76" s="53"/>
      <c r="F76" s="21"/>
    </row>
    <row r="77" spans="2:6" x14ac:dyDescent="0.25">
      <c r="B77" s="20"/>
      <c r="C77" s="20"/>
      <c r="D77" s="22"/>
      <c r="E77" s="53"/>
      <c r="F77" s="21"/>
    </row>
    <row r="78" spans="2:6" x14ac:dyDescent="0.25">
      <c r="B78" s="20"/>
      <c r="C78" s="20"/>
      <c r="D78" s="22"/>
      <c r="E78" s="53"/>
      <c r="F78" s="21"/>
    </row>
    <row r="79" spans="2:6" x14ac:dyDescent="0.25">
      <c r="B79" s="20"/>
      <c r="C79" s="20"/>
      <c r="D79" s="22"/>
      <c r="E79" s="53"/>
      <c r="F79" s="21"/>
    </row>
    <row r="80" spans="2:6" x14ac:dyDescent="0.25">
      <c r="B80" s="20"/>
      <c r="C80" s="20"/>
      <c r="D80" s="22"/>
      <c r="E80" s="53"/>
      <c r="F80" s="21"/>
    </row>
    <row r="81" spans="2:6" x14ac:dyDescent="0.25">
      <c r="B81" s="20"/>
      <c r="C81" s="20"/>
      <c r="D81" s="22"/>
      <c r="E81" s="53"/>
      <c r="F81" s="21"/>
    </row>
    <row r="82" spans="2:6" x14ac:dyDescent="0.25">
      <c r="B82" s="20"/>
      <c r="C82" s="20"/>
      <c r="D82" s="22"/>
      <c r="E82" s="53"/>
      <c r="F82" s="21"/>
    </row>
    <row r="83" spans="2:6" x14ac:dyDescent="0.25">
      <c r="B83" s="20"/>
      <c r="C83" s="20"/>
      <c r="D83" s="22"/>
      <c r="E83" s="53"/>
      <c r="F83" s="21"/>
    </row>
    <row r="84" spans="2:6" x14ac:dyDescent="0.25">
      <c r="B84" s="20"/>
      <c r="C84" s="20"/>
      <c r="D84" s="22"/>
      <c r="E84" s="53"/>
      <c r="F84" s="21"/>
    </row>
    <row r="85" spans="2:6" x14ac:dyDescent="0.25">
      <c r="B85" s="20"/>
      <c r="C85" s="20"/>
      <c r="D85" s="22"/>
      <c r="E85" s="53"/>
      <c r="F85" s="21"/>
    </row>
    <row r="86" spans="2:6" x14ac:dyDescent="0.25">
      <c r="B86" s="20"/>
      <c r="C86" s="20"/>
      <c r="D86" s="22"/>
      <c r="E86" s="53"/>
      <c r="F86" s="21"/>
    </row>
    <row r="87" spans="2:6" x14ac:dyDescent="0.25">
      <c r="B87" s="20"/>
      <c r="C87" s="20"/>
      <c r="D87" s="22"/>
      <c r="E87" s="53"/>
      <c r="F87" s="21"/>
    </row>
    <row r="88" spans="2:6" x14ac:dyDescent="0.25">
      <c r="B88" s="20"/>
      <c r="C88" s="20"/>
      <c r="D88" s="22"/>
      <c r="E88" s="53"/>
      <c r="F88" s="21"/>
    </row>
    <row r="89" spans="2:6" x14ac:dyDescent="0.25">
      <c r="B89" s="20"/>
      <c r="C89" s="20"/>
      <c r="D89" s="22"/>
      <c r="E89" s="53"/>
      <c r="F89" s="21"/>
    </row>
    <row r="90" spans="2:6" x14ac:dyDescent="0.25">
      <c r="B90" s="20"/>
      <c r="C90" s="20"/>
      <c r="D90" s="22"/>
      <c r="E90" s="53"/>
      <c r="F90" s="21"/>
    </row>
    <row r="91" spans="2:6" x14ac:dyDescent="0.25">
      <c r="B91" s="20"/>
      <c r="C91" s="20"/>
      <c r="D91" s="22"/>
      <c r="E91" s="53"/>
      <c r="F91" s="21"/>
    </row>
    <row r="92" spans="2:6" x14ac:dyDescent="0.25">
      <c r="B92" s="20"/>
      <c r="C92" s="20"/>
      <c r="D92" s="22"/>
      <c r="E92" s="53"/>
      <c r="F92" s="21"/>
    </row>
    <row r="93" spans="2:6" x14ac:dyDescent="0.25">
      <c r="B93" s="20"/>
      <c r="C93" s="20"/>
      <c r="D93" s="22"/>
      <c r="E93" s="53"/>
      <c r="F93" s="21"/>
    </row>
    <row r="94" spans="2:6" x14ac:dyDescent="0.25">
      <c r="B94" s="20"/>
      <c r="C94" s="20"/>
      <c r="D94" s="22"/>
      <c r="E94" s="53"/>
      <c r="F94" s="21"/>
    </row>
    <row r="95" spans="2:6" x14ac:dyDescent="0.25">
      <c r="B95" s="20"/>
      <c r="C95" s="20"/>
      <c r="D95" s="22"/>
      <c r="E95" s="53"/>
      <c r="F95" s="21"/>
    </row>
    <row r="96" spans="2:6" x14ac:dyDescent="0.25">
      <c r="B96" s="20"/>
      <c r="C96" s="20"/>
      <c r="D96" s="22"/>
      <c r="E96" s="53"/>
      <c r="F96" s="21"/>
    </row>
    <row r="97" spans="2:6" x14ac:dyDescent="0.25">
      <c r="B97" s="20"/>
      <c r="C97" s="20"/>
      <c r="D97" s="22"/>
      <c r="E97" s="53"/>
      <c r="F97" s="21"/>
    </row>
    <row r="98" spans="2:6" x14ac:dyDescent="0.25">
      <c r="B98" s="20"/>
      <c r="C98" s="20"/>
      <c r="D98" s="22"/>
      <c r="E98" s="53"/>
      <c r="F98" s="21"/>
    </row>
    <row r="99" spans="2:6" x14ac:dyDescent="0.25">
      <c r="B99" s="20"/>
      <c r="C99" s="20"/>
      <c r="D99" s="22"/>
      <c r="E99" s="53"/>
      <c r="F99" s="21"/>
    </row>
    <row r="100" spans="2:6" x14ac:dyDescent="0.25">
      <c r="B100" s="20"/>
      <c r="C100" s="20"/>
      <c r="D100" s="22"/>
      <c r="E100" s="53"/>
      <c r="F100" s="21"/>
    </row>
    <row r="101" spans="2:6" x14ac:dyDescent="0.25">
      <c r="B101" s="20"/>
      <c r="C101" s="20"/>
      <c r="D101" s="22"/>
      <c r="E101" s="53"/>
      <c r="F101" s="21"/>
    </row>
    <row r="102" spans="2:6" x14ac:dyDescent="0.25">
      <c r="B102" s="20"/>
      <c r="C102" s="20"/>
      <c r="D102" s="22"/>
      <c r="E102" s="53"/>
      <c r="F102" s="21"/>
    </row>
    <row r="103" spans="2:6" x14ac:dyDescent="0.25">
      <c r="B103" s="20"/>
      <c r="C103" s="20"/>
      <c r="D103" s="22"/>
      <c r="E103" s="53"/>
      <c r="F103" s="21"/>
    </row>
    <row r="104" spans="2:6" x14ac:dyDescent="0.25">
      <c r="B104" s="20"/>
      <c r="C104" s="20"/>
      <c r="D104" s="22"/>
      <c r="E104" s="53"/>
      <c r="F104" s="21"/>
    </row>
    <row r="105" spans="2:6" x14ac:dyDescent="0.25">
      <c r="B105" s="20"/>
      <c r="C105" s="20"/>
      <c r="D105" s="22"/>
      <c r="E105" s="53"/>
      <c r="F105" s="21"/>
    </row>
    <row r="106" spans="2:6" x14ac:dyDescent="0.25">
      <c r="B106" s="20"/>
      <c r="C106" s="20"/>
      <c r="D106" s="22"/>
      <c r="E106" s="53"/>
      <c r="F106" s="21"/>
    </row>
    <row r="107" spans="2:6" x14ac:dyDescent="0.25">
      <c r="B107" s="20"/>
      <c r="C107" s="20"/>
      <c r="D107" s="22"/>
      <c r="E107" s="53"/>
      <c r="F107" s="21"/>
    </row>
    <row r="108" spans="2:6" x14ac:dyDescent="0.25">
      <c r="B108" s="20"/>
      <c r="C108" s="20"/>
      <c r="D108" s="22"/>
      <c r="E108" s="53"/>
      <c r="F108" s="21"/>
    </row>
    <row r="109" spans="2:6" x14ac:dyDescent="0.25">
      <c r="B109" s="20"/>
      <c r="C109" s="20"/>
      <c r="D109" s="22"/>
      <c r="E109" s="53"/>
      <c r="F109" s="21"/>
    </row>
    <row r="110" spans="2:6" x14ac:dyDescent="0.25">
      <c r="B110" s="20"/>
      <c r="C110" s="20"/>
      <c r="D110" s="22"/>
      <c r="E110" s="53"/>
      <c r="F110" s="21"/>
    </row>
    <row r="111" spans="2:6" x14ac:dyDescent="0.25">
      <c r="B111" s="20"/>
      <c r="C111" s="20"/>
      <c r="D111" s="22"/>
      <c r="E111" s="53"/>
      <c r="F111" s="21"/>
    </row>
    <row r="112" spans="2:6" x14ac:dyDescent="0.25">
      <c r="B112" s="20"/>
      <c r="C112" s="20"/>
      <c r="D112" s="22"/>
      <c r="E112" s="53"/>
      <c r="F112" s="21"/>
    </row>
    <row r="113" spans="2:6" x14ac:dyDescent="0.25">
      <c r="B113" s="20"/>
      <c r="C113" s="20"/>
      <c r="D113" s="22"/>
      <c r="E113" s="53"/>
      <c r="F113" s="21"/>
    </row>
    <row r="114" spans="2:6" x14ac:dyDescent="0.25">
      <c r="B114" s="20"/>
      <c r="C114" s="20"/>
      <c r="D114" s="22"/>
      <c r="E114" s="53"/>
      <c r="F114" s="21"/>
    </row>
    <row r="115" spans="2:6" x14ac:dyDescent="0.25">
      <c r="B115" s="20"/>
      <c r="C115" s="20"/>
      <c r="D115" s="22"/>
      <c r="E115" s="53"/>
      <c r="F115" s="21"/>
    </row>
    <row r="116" spans="2:6" x14ac:dyDescent="0.25">
      <c r="B116" s="20"/>
      <c r="C116" s="20"/>
      <c r="D116" s="22"/>
      <c r="E116" s="53"/>
      <c r="F116" s="21"/>
    </row>
    <row r="117" spans="2:6" x14ac:dyDescent="0.25">
      <c r="B117" s="20"/>
      <c r="C117" s="20"/>
      <c r="D117" s="22"/>
      <c r="E117" s="53"/>
      <c r="F117" s="21"/>
    </row>
    <row r="118" spans="2:6" x14ac:dyDescent="0.25">
      <c r="B118" s="20"/>
      <c r="C118" s="20"/>
      <c r="D118" s="22"/>
      <c r="E118" s="53"/>
      <c r="F118" s="21"/>
    </row>
    <row r="119" spans="2:6" x14ac:dyDescent="0.25">
      <c r="B119" s="20"/>
      <c r="C119" s="20"/>
      <c r="D119" s="22"/>
      <c r="E119" s="53"/>
      <c r="F119" s="21"/>
    </row>
    <row r="120" spans="2:6" x14ac:dyDescent="0.25">
      <c r="B120" s="20"/>
      <c r="C120" s="20"/>
      <c r="D120" s="22"/>
      <c r="E120" s="53"/>
      <c r="F120" s="21"/>
    </row>
    <row r="121" spans="2:6" x14ac:dyDescent="0.25">
      <c r="B121" s="20"/>
      <c r="C121" s="20"/>
      <c r="D121" s="22"/>
      <c r="E121" s="53"/>
      <c r="F121" s="21"/>
    </row>
    <row r="122" spans="2:6" x14ac:dyDescent="0.25">
      <c r="B122" s="20"/>
      <c r="C122" s="20"/>
      <c r="D122" s="22"/>
      <c r="E122" s="53"/>
      <c r="F122" s="21"/>
    </row>
    <row r="123" spans="2:6" x14ac:dyDescent="0.25">
      <c r="B123" s="20"/>
      <c r="C123" s="20"/>
      <c r="D123" s="22"/>
      <c r="E123" s="53"/>
      <c r="F123" s="21"/>
    </row>
    <row r="124" spans="2:6" x14ac:dyDescent="0.25">
      <c r="B124" s="20"/>
      <c r="C124" s="20"/>
      <c r="D124" s="22"/>
      <c r="E124" s="53"/>
      <c r="F124" s="21"/>
    </row>
    <row r="125" spans="2:6" x14ac:dyDescent="0.25">
      <c r="B125" s="20"/>
      <c r="C125" s="20"/>
      <c r="D125" s="22"/>
      <c r="E125" s="53"/>
      <c r="F125" s="21"/>
    </row>
    <row r="126" spans="2:6" x14ac:dyDescent="0.25">
      <c r="B126" s="20"/>
      <c r="C126" s="20"/>
      <c r="D126" s="22"/>
      <c r="E126" s="53"/>
      <c r="F126" s="21"/>
    </row>
    <row r="127" spans="2:6" x14ac:dyDescent="0.25">
      <c r="B127" s="20"/>
      <c r="C127" s="20"/>
      <c r="D127" s="22"/>
      <c r="E127" s="53"/>
      <c r="F127" s="21"/>
    </row>
    <row r="128" spans="2:6" x14ac:dyDescent="0.25">
      <c r="B128" s="20"/>
      <c r="C128" s="20"/>
      <c r="D128" s="22"/>
      <c r="E128" s="53"/>
      <c r="F128" s="21"/>
    </row>
    <row r="129" spans="2:6" x14ac:dyDescent="0.25">
      <c r="B129" s="20"/>
      <c r="C129" s="20"/>
      <c r="D129" s="22"/>
      <c r="E129" s="53"/>
      <c r="F129" s="21"/>
    </row>
    <row r="130" spans="2:6" x14ac:dyDescent="0.25">
      <c r="B130" s="20"/>
      <c r="C130" s="20"/>
      <c r="D130" s="22"/>
      <c r="E130" s="53"/>
      <c r="F130" s="21"/>
    </row>
    <row r="131" spans="2:6" x14ac:dyDescent="0.25">
      <c r="B131" s="20"/>
      <c r="C131" s="20"/>
      <c r="D131" s="22"/>
      <c r="E131" s="53"/>
      <c r="F131" s="21"/>
    </row>
    <row r="132" spans="2:6" x14ac:dyDescent="0.25">
      <c r="B132" s="20"/>
      <c r="C132" s="20"/>
      <c r="D132" s="22"/>
      <c r="E132" s="53"/>
      <c r="F132" s="21"/>
    </row>
    <row r="133" spans="2:6" x14ac:dyDescent="0.25">
      <c r="B133" s="20"/>
      <c r="C133" s="20"/>
      <c r="D133" s="22"/>
      <c r="E133" s="53"/>
      <c r="F133" s="21"/>
    </row>
    <row r="134" spans="2:6" x14ac:dyDescent="0.25">
      <c r="B134" s="20"/>
      <c r="C134" s="20"/>
      <c r="D134" s="22"/>
      <c r="E134" s="53"/>
      <c r="F134" s="21"/>
    </row>
    <row r="135" spans="2:6" x14ac:dyDescent="0.25">
      <c r="B135" s="20"/>
      <c r="C135" s="20"/>
      <c r="D135" s="22"/>
      <c r="E135" s="53"/>
      <c r="F135" s="21"/>
    </row>
    <row r="136" spans="2:6" x14ac:dyDescent="0.25">
      <c r="B136" s="20"/>
      <c r="C136" s="20"/>
      <c r="D136" s="22"/>
      <c r="E136" s="53"/>
      <c r="F136" s="21"/>
    </row>
    <row r="137" spans="2:6" x14ac:dyDescent="0.25">
      <c r="B137" s="20"/>
      <c r="C137" s="20"/>
      <c r="D137" s="22"/>
      <c r="E137" s="53"/>
      <c r="F137" s="21"/>
    </row>
    <row r="138" spans="2:6" x14ac:dyDescent="0.25">
      <c r="B138" s="20"/>
      <c r="C138" s="20"/>
      <c r="D138" s="22"/>
      <c r="E138" s="53"/>
      <c r="F138" s="21"/>
    </row>
    <row r="139" spans="2:6" x14ac:dyDescent="0.25">
      <c r="B139" s="20"/>
      <c r="C139" s="20"/>
      <c r="D139" s="22"/>
      <c r="E139" s="53"/>
      <c r="F139" s="21"/>
    </row>
    <row r="140" spans="2:6" x14ac:dyDescent="0.25">
      <c r="B140" s="20"/>
      <c r="C140" s="20"/>
      <c r="D140" s="22"/>
      <c r="E140" s="53"/>
      <c r="F140" s="21"/>
    </row>
    <row r="141" spans="2:6" x14ac:dyDescent="0.25">
      <c r="B141" s="20"/>
      <c r="C141" s="20"/>
      <c r="D141" s="22"/>
      <c r="E141" s="53"/>
      <c r="F141" s="21"/>
    </row>
    <row r="142" spans="2:6" x14ac:dyDescent="0.25">
      <c r="B142" s="20"/>
      <c r="C142" s="20"/>
      <c r="D142" s="22"/>
      <c r="E142" s="53"/>
      <c r="F142" s="21"/>
    </row>
    <row r="143" spans="2:6" x14ac:dyDescent="0.25">
      <c r="B143" s="20"/>
      <c r="C143" s="20"/>
      <c r="D143" s="22"/>
      <c r="E143" s="53"/>
      <c r="F143" s="21"/>
    </row>
    <row r="144" spans="2:6" x14ac:dyDescent="0.25">
      <c r="B144" s="20"/>
      <c r="C144" s="20"/>
      <c r="D144" s="22"/>
      <c r="E144" s="53"/>
      <c r="F144" s="21"/>
    </row>
    <row r="145" spans="2:6" x14ac:dyDescent="0.25">
      <c r="B145" s="20"/>
      <c r="C145" s="20"/>
      <c r="D145" s="22"/>
      <c r="E145" s="53"/>
      <c r="F145" s="21"/>
    </row>
    <row r="146" spans="2:6" x14ac:dyDescent="0.25">
      <c r="B146" s="20"/>
      <c r="C146" s="20"/>
      <c r="D146" s="22"/>
      <c r="E146" s="53"/>
      <c r="F146" s="21"/>
    </row>
    <row r="147" spans="2:6" x14ac:dyDescent="0.25">
      <c r="B147" s="20"/>
      <c r="C147" s="20"/>
      <c r="D147" s="22"/>
      <c r="E147" s="53"/>
      <c r="F147" s="21"/>
    </row>
    <row r="148" spans="2:6" x14ac:dyDescent="0.25">
      <c r="B148" s="20"/>
      <c r="C148" s="20"/>
      <c r="D148" s="22"/>
      <c r="E148" s="53"/>
      <c r="F148" s="21"/>
    </row>
    <row r="149" spans="2:6" x14ac:dyDescent="0.25">
      <c r="B149" s="20"/>
      <c r="C149" s="20"/>
      <c r="D149" s="22"/>
      <c r="E149" s="53"/>
      <c r="F149" s="21"/>
    </row>
    <row r="150" spans="2:6" x14ac:dyDescent="0.25">
      <c r="B150" s="20"/>
      <c r="C150" s="20"/>
      <c r="D150" s="22"/>
      <c r="E150" s="53"/>
      <c r="F150" s="21"/>
    </row>
    <row r="151" spans="2:6" x14ac:dyDescent="0.25">
      <c r="B151" s="20"/>
      <c r="C151" s="20"/>
      <c r="D151" s="22"/>
      <c r="E151" s="53"/>
      <c r="F151" s="21"/>
    </row>
    <row r="152" spans="2:6" x14ac:dyDescent="0.25">
      <c r="B152" s="20"/>
      <c r="C152" s="20"/>
      <c r="D152" s="22"/>
      <c r="E152" s="53"/>
      <c r="F152" s="21"/>
    </row>
    <row r="153" spans="2:6" x14ac:dyDescent="0.25">
      <c r="B153" s="20"/>
      <c r="C153" s="20"/>
      <c r="D153" s="22"/>
      <c r="E153" s="53"/>
      <c r="F153" s="21"/>
    </row>
    <row r="154" spans="2:6" x14ac:dyDescent="0.25">
      <c r="B154" s="20"/>
      <c r="C154" s="20"/>
      <c r="D154" s="22"/>
      <c r="E154" s="53"/>
      <c r="F154" s="21"/>
    </row>
    <row r="155" spans="2:6" x14ac:dyDescent="0.25">
      <c r="B155" s="20"/>
      <c r="C155" s="20"/>
      <c r="D155" s="22"/>
      <c r="E155" s="53"/>
      <c r="F155" s="21"/>
    </row>
    <row r="156" spans="2:6" x14ac:dyDescent="0.25">
      <c r="B156" s="20"/>
      <c r="C156" s="20"/>
      <c r="D156" s="22"/>
      <c r="E156" s="53"/>
      <c r="F156" s="21"/>
    </row>
    <row r="157" spans="2:6" x14ac:dyDescent="0.25">
      <c r="B157" s="20"/>
      <c r="C157" s="20"/>
      <c r="D157" s="22"/>
      <c r="E157" s="53"/>
      <c r="F157" s="21"/>
    </row>
    <row r="158" spans="2:6" x14ac:dyDescent="0.25">
      <c r="B158" s="20"/>
      <c r="C158" s="20"/>
      <c r="D158" s="22"/>
      <c r="E158" s="53"/>
      <c r="F158" s="21"/>
    </row>
    <row r="159" spans="2:6" x14ac:dyDescent="0.25">
      <c r="B159" s="20"/>
      <c r="C159" s="20"/>
      <c r="D159" s="22"/>
      <c r="E159" s="53"/>
      <c r="F159" s="21"/>
    </row>
    <row r="160" spans="2:6" x14ac:dyDescent="0.25">
      <c r="B160" s="20"/>
      <c r="C160" s="20"/>
      <c r="D160" s="22"/>
      <c r="E160" s="53"/>
      <c r="F160" s="21"/>
    </row>
    <row r="161" spans="2:6" x14ac:dyDescent="0.25">
      <c r="B161" s="20"/>
      <c r="C161" s="20"/>
      <c r="D161" s="22"/>
      <c r="E161" s="53"/>
      <c r="F161" s="21"/>
    </row>
    <row r="162" spans="2:6" x14ac:dyDescent="0.25">
      <c r="B162" s="20"/>
      <c r="C162" s="20"/>
      <c r="D162" s="22"/>
      <c r="E162" s="53"/>
      <c r="F162" s="21"/>
    </row>
    <row r="163" spans="2:6" x14ac:dyDescent="0.25">
      <c r="B163" s="20"/>
      <c r="C163" s="20"/>
      <c r="D163" s="22"/>
      <c r="E163" s="53"/>
      <c r="F163" s="21"/>
    </row>
    <row r="164" spans="2:6" x14ac:dyDescent="0.25">
      <c r="B164" s="20"/>
      <c r="C164" s="20"/>
      <c r="D164" s="22"/>
      <c r="E164" s="53"/>
      <c r="F164" s="21"/>
    </row>
    <row r="165" spans="2:6" x14ac:dyDescent="0.25">
      <c r="B165" s="20"/>
      <c r="C165" s="20"/>
      <c r="D165" s="22"/>
      <c r="E165" s="53"/>
      <c r="F165" s="21"/>
    </row>
    <row r="166" spans="2:6" x14ac:dyDescent="0.25">
      <c r="B166" s="20"/>
      <c r="C166" s="20"/>
      <c r="D166" s="22"/>
      <c r="E166" s="53"/>
      <c r="F166" s="21"/>
    </row>
    <row r="167" spans="2:6" x14ac:dyDescent="0.25">
      <c r="B167" s="20"/>
      <c r="C167" s="20"/>
      <c r="D167" s="22"/>
      <c r="E167" s="53"/>
      <c r="F167" s="21"/>
    </row>
    <row r="168" spans="2:6" x14ac:dyDescent="0.25">
      <c r="B168" s="20"/>
      <c r="C168" s="20"/>
      <c r="D168" s="22"/>
      <c r="E168" s="53"/>
      <c r="F168" s="21"/>
    </row>
    <row r="169" spans="2:6" x14ac:dyDescent="0.25">
      <c r="B169" s="20"/>
      <c r="C169" s="20"/>
      <c r="D169" s="22"/>
      <c r="E169" s="53"/>
      <c r="F169" s="21"/>
    </row>
    <row r="170" spans="2:6" x14ac:dyDescent="0.25">
      <c r="B170" s="20"/>
      <c r="C170" s="20"/>
      <c r="D170" s="22"/>
      <c r="E170" s="53"/>
      <c r="F170" s="21"/>
    </row>
    <row r="171" spans="2:6" x14ac:dyDescent="0.25">
      <c r="B171" s="20"/>
      <c r="C171" s="20"/>
      <c r="D171" s="22"/>
      <c r="E171" s="53"/>
      <c r="F171" s="21"/>
    </row>
    <row r="172" spans="2:6" x14ac:dyDescent="0.25">
      <c r="B172" s="20"/>
      <c r="C172" s="20"/>
      <c r="D172" s="22"/>
      <c r="E172" s="53"/>
      <c r="F172" s="21"/>
    </row>
    <row r="173" spans="2:6" x14ac:dyDescent="0.25">
      <c r="B173" s="20"/>
      <c r="C173" s="20"/>
      <c r="D173" s="22"/>
      <c r="E173" s="53"/>
      <c r="F173" s="21"/>
    </row>
    <row r="174" spans="2:6" x14ac:dyDescent="0.25">
      <c r="B174" s="20"/>
      <c r="C174" s="20"/>
      <c r="D174" s="22"/>
      <c r="E174" s="53"/>
      <c r="F174" s="21"/>
    </row>
    <row r="175" spans="2:6" x14ac:dyDescent="0.25">
      <c r="B175" s="20"/>
      <c r="C175" s="20"/>
      <c r="D175" s="22"/>
      <c r="E175" s="53"/>
      <c r="F175" s="21"/>
    </row>
    <row r="176" spans="2:6" x14ac:dyDescent="0.25">
      <c r="B176" s="20"/>
      <c r="C176" s="20"/>
      <c r="D176" s="22"/>
      <c r="E176" s="53"/>
      <c r="F176" s="21"/>
    </row>
    <row r="177" spans="2:6" x14ac:dyDescent="0.25">
      <c r="B177" s="20"/>
      <c r="C177" s="20"/>
      <c r="D177" s="22"/>
      <c r="E177" s="53"/>
      <c r="F177" s="21"/>
    </row>
    <row r="178" spans="2:6" x14ac:dyDescent="0.25">
      <c r="B178" s="20"/>
      <c r="C178" s="20"/>
      <c r="D178" s="22"/>
      <c r="E178" s="53"/>
      <c r="F178" s="21"/>
    </row>
    <row r="179" spans="2:6" x14ac:dyDescent="0.25">
      <c r="B179" s="20"/>
      <c r="C179" s="20"/>
      <c r="D179" s="22"/>
      <c r="E179" s="53"/>
      <c r="F179" s="21"/>
    </row>
    <row r="180" spans="2:6" x14ac:dyDescent="0.25">
      <c r="B180" s="20"/>
      <c r="C180" s="20"/>
      <c r="D180" s="22"/>
      <c r="E180" s="53"/>
      <c r="F180" s="21"/>
    </row>
    <row r="181" spans="2:6" x14ac:dyDescent="0.25">
      <c r="B181" s="20"/>
      <c r="C181" s="20"/>
      <c r="D181" s="22"/>
      <c r="E181" s="53"/>
      <c r="F181" s="21"/>
    </row>
    <row r="182" spans="2:6" x14ac:dyDescent="0.25">
      <c r="B182" s="20"/>
      <c r="E182" s="53"/>
      <c r="F182" s="21"/>
    </row>
    <row r="183" spans="2:6" x14ac:dyDescent="0.25">
      <c r="B183" s="20"/>
      <c r="E183" s="53"/>
      <c r="F183" s="21"/>
    </row>
    <row r="184" spans="2:6" x14ac:dyDescent="0.25">
      <c r="B184" s="20"/>
      <c r="E184" s="53"/>
      <c r="F184" s="21"/>
    </row>
    <row r="185" spans="2:6" x14ac:dyDescent="0.25">
      <c r="B185" s="20"/>
      <c r="E185" s="53"/>
      <c r="F185" s="21"/>
    </row>
    <row r="186" spans="2:6" x14ac:dyDescent="0.25">
      <c r="B186" s="20"/>
      <c r="E186" s="53"/>
      <c r="F186" s="21"/>
    </row>
    <row r="187" spans="2:6" x14ac:dyDescent="0.25">
      <c r="B187" s="20"/>
      <c r="E187" s="53"/>
      <c r="F187" s="21"/>
    </row>
    <row r="188" spans="2:6" x14ac:dyDescent="0.25">
      <c r="B188" s="20"/>
      <c r="E188" s="53"/>
      <c r="F188" s="21"/>
    </row>
    <row r="189" spans="2:6" x14ac:dyDescent="0.25">
      <c r="B189" s="20"/>
      <c r="E189" s="53"/>
      <c r="F189" s="21"/>
    </row>
    <row r="190" spans="2:6" x14ac:dyDescent="0.25">
      <c r="B190" s="20"/>
      <c r="F190" s="21"/>
    </row>
    <row r="191" spans="2:6" x14ac:dyDescent="0.25">
      <c r="B191" s="20"/>
      <c r="F191" s="21"/>
    </row>
    <row r="192" spans="2:6" x14ac:dyDescent="0.25">
      <c r="B192" s="20"/>
    </row>
    <row r="193" spans="2:2" x14ac:dyDescent="0.25">
      <c r="B193" s="20"/>
    </row>
    <row r="194" spans="2:2" x14ac:dyDescent="0.25">
      <c r="B194" s="20"/>
    </row>
    <row r="195" spans="2:2" x14ac:dyDescent="0.25">
      <c r="B195" s="20"/>
    </row>
    <row r="196" spans="2:2" x14ac:dyDescent="0.25">
      <c r="B196" s="20"/>
    </row>
    <row r="197" spans="2:2" x14ac:dyDescent="0.25">
      <c r="B197" s="20"/>
    </row>
  </sheetData>
  <sortState ref="B6:E100">
    <sortCondition descending="1" ref="C6"/>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Menu">
                <anchor moveWithCells="1" sizeWithCells="1">
                  <from>
                    <xdr:col>6</xdr:col>
                    <xdr:colOff>558800</xdr:colOff>
                    <xdr:row>0</xdr:row>
                    <xdr:rowOff>152400</xdr:rowOff>
                  </from>
                  <to>
                    <xdr:col>11</xdr:col>
                    <xdr:colOff>0</xdr:colOff>
                    <xdr:row>1</xdr:row>
                    <xdr:rowOff>469900</xdr:rowOff>
                  </to>
                </anchor>
              </controlPr>
            </control>
          </mc:Choice>
          <mc:Fallback/>
        </mc:AlternateContent>
        <mc:AlternateContent xmlns:mc="http://schemas.openxmlformats.org/markup-compatibility/2006">
          <mc:Choice Requires="x14">
            <control shapeId="5122" r:id="rId4" name="Button 2">
              <controlPr defaultSize="0" print="0" autoFill="0" autoPict="0" macro="[0]!clearleaderboard">
                <anchor moveWithCells="1" sizeWithCells="1">
                  <from>
                    <xdr:col>6</xdr:col>
                    <xdr:colOff>558800</xdr:colOff>
                    <xdr:row>3</xdr:row>
                    <xdr:rowOff>76200</xdr:rowOff>
                  </from>
                  <to>
                    <xdr:col>11</xdr:col>
                    <xdr:colOff>25400</xdr:colOff>
                    <xdr:row>3</xdr:row>
                    <xdr:rowOff>609600</xdr:rowOff>
                  </to>
                </anchor>
              </controlPr>
            </control>
          </mc:Choice>
          <mc:Fallback/>
        </mc:AlternateContent>
      </controls>
    </mc:Choice>
    <mc:Fallback/>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O30"/>
  <sheetViews>
    <sheetView workbookViewId="0">
      <selection activeCell="A2" sqref="A2"/>
    </sheetView>
  </sheetViews>
  <sheetFormatPr baseColWidth="10" defaultColWidth="8.83203125" defaultRowHeight="15" x14ac:dyDescent="0.2"/>
  <cols>
    <col min="2" max="2" width="5.33203125" bestFit="1" customWidth="1"/>
    <col min="3" max="3" width="12" bestFit="1" customWidth="1"/>
    <col min="4" max="4" width="10" bestFit="1" customWidth="1"/>
    <col min="5" max="5" width="10.83203125" bestFit="1" customWidth="1"/>
    <col min="7" max="7" width="9.1640625" bestFit="1" customWidth="1"/>
    <col min="8" max="8" width="8.1640625" bestFit="1" customWidth="1"/>
    <col min="9" max="9" width="10.1640625" bestFit="1" customWidth="1"/>
    <col min="10" max="10" width="7.5" bestFit="1" customWidth="1"/>
    <col min="11" max="11" width="9.5" bestFit="1" customWidth="1"/>
    <col min="12" max="12" width="8.5" bestFit="1" customWidth="1"/>
    <col min="13" max="13" width="10.5" bestFit="1" customWidth="1"/>
    <col min="14" max="14" width="7.83203125" customWidth="1"/>
    <col min="15" max="15" width="10" bestFit="1" customWidth="1"/>
  </cols>
  <sheetData>
    <row r="2" spans="2:15" x14ac:dyDescent="0.2">
      <c r="B2" t="s">
        <v>6</v>
      </c>
      <c r="C2" t="s">
        <v>7</v>
      </c>
      <c r="D2" t="s">
        <v>8</v>
      </c>
      <c r="E2" t="s">
        <v>9</v>
      </c>
      <c r="F2" t="s">
        <v>10</v>
      </c>
      <c r="G2" t="s">
        <v>12</v>
      </c>
      <c r="H2" t="s">
        <v>13</v>
      </c>
      <c r="I2" t="s">
        <v>14</v>
      </c>
      <c r="J2" t="s">
        <v>15</v>
      </c>
      <c r="K2" t="s">
        <v>16</v>
      </c>
      <c r="L2" t="s">
        <v>17</v>
      </c>
      <c r="M2" t="s">
        <v>18</v>
      </c>
      <c r="N2" t="s">
        <v>19</v>
      </c>
      <c r="O2" t="s">
        <v>11</v>
      </c>
    </row>
    <row r="3" spans="2:15" x14ac:dyDescent="0.2">
      <c r="B3">
        <v>2048</v>
      </c>
      <c r="C3">
        <v>0</v>
      </c>
      <c r="D3">
        <v>0</v>
      </c>
      <c r="E3">
        <v>0</v>
      </c>
      <c r="F3">
        <v>0</v>
      </c>
      <c r="G3">
        <f>IF(C3=MAX(C3:F3),1,0)</f>
        <v>1</v>
      </c>
      <c r="H3">
        <f>IF(D3=MAX(C3:F3),1,0)</f>
        <v>1</v>
      </c>
      <c r="I3">
        <f>IF(E3=MAX(C3:F3),1,0)</f>
        <v>1</v>
      </c>
      <c r="J3">
        <f>IF(F3=MAX(C3:F3),1,0)</f>
        <v>1</v>
      </c>
      <c r="K3">
        <f>IF(G3=1,C3)</f>
        <v>0</v>
      </c>
      <c r="L3">
        <f t="shared" ref="L3:N3" si="0">IF(H3=1,D3)</f>
        <v>0</v>
      </c>
      <c r="M3">
        <f t="shared" si="0"/>
        <v>0</v>
      </c>
      <c r="N3">
        <f t="shared" si="0"/>
        <v>0</v>
      </c>
      <c r="O3">
        <f>MATCH(MAX(K13:N13),K13:N13)</f>
        <v>4</v>
      </c>
    </row>
    <row r="4" spans="2:15" x14ac:dyDescent="0.2">
      <c r="B4">
        <f>B3/2</f>
        <v>1024</v>
      </c>
      <c r="C4">
        <v>0</v>
      </c>
      <c r="D4">
        <v>0</v>
      </c>
      <c r="E4">
        <v>0</v>
      </c>
      <c r="F4">
        <v>0</v>
      </c>
      <c r="G4">
        <f>IF(AND(C4=MAX(C4:F4),G3=1),1,0)</f>
        <v>1</v>
      </c>
      <c r="H4">
        <f>IF(AND(D4=MAX(C4:F4),H3=1),1,0)</f>
        <v>1</v>
      </c>
      <c r="I4">
        <f>IF(AND(E4=MAX(C4:F4),I3=1),1,0)</f>
        <v>1</v>
      </c>
      <c r="J4">
        <f>IF(AND(F4=MAX(C4:F4),J3=1),1,0)</f>
        <v>1</v>
      </c>
      <c r="K4">
        <f>IF(G4=1,C4+K3,K3)</f>
        <v>0</v>
      </c>
      <c r="L4">
        <f t="shared" ref="L4:N4" si="1">IF(H4=1,D4+L3,L3)</f>
        <v>0</v>
      </c>
      <c r="M4">
        <f t="shared" si="1"/>
        <v>0</v>
      </c>
      <c r="N4">
        <f t="shared" si="1"/>
        <v>0</v>
      </c>
    </row>
    <row r="5" spans="2:15" x14ac:dyDescent="0.2">
      <c r="B5">
        <f t="shared" ref="B5:B13" si="2">B4/2</f>
        <v>512</v>
      </c>
      <c r="C5">
        <v>0</v>
      </c>
      <c r="D5">
        <v>0</v>
      </c>
      <c r="E5">
        <v>0</v>
      </c>
      <c r="F5">
        <v>0</v>
      </c>
      <c r="G5">
        <f t="shared" ref="G5:G8" si="3">IF(AND(C5=MAX(C5:F5),G4=1),1,0)</f>
        <v>1</v>
      </c>
      <c r="H5">
        <f t="shared" ref="H5:H8" si="4">IF(AND(D5=MAX(C5:F5),H4=1),1,0)</f>
        <v>1</v>
      </c>
      <c r="I5">
        <f t="shared" ref="I5:I13" si="5">IF(AND(E5=MAX(C5:F5),I4=1),1,0)</f>
        <v>1</v>
      </c>
      <c r="J5">
        <f t="shared" ref="J5:J13" si="6">IF(AND(F5=MAX(C5:F5),J4=1),1,0)</f>
        <v>1</v>
      </c>
      <c r="K5">
        <f t="shared" ref="K5:K13" si="7">IF(G5=1,C5+K4,K4)</f>
        <v>0</v>
      </c>
      <c r="L5">
        <f t="shared" ref="L5:L13" si="8">IF(H5=1,D5+L4,L4)</f>
        <v>0</v>
      </c>
      <c r="M5">
        <f t="shared" ref="M5:M13" si="9">IF(I5=1,E5+M4,M4)</f>
        <v>0</v>
      </c>
      <c r="N5">
        <f t="shared" ref="N5:N13" si="10">IF(J5=1,F5+N4,N4)</f>
        <v>0</v>
      </c>
    </row>
    <row r="6" spans="2:15" x14ac:dyDescent="0.2">
      <c r="B6">
        <f t="shared" si="2"/>
        <v>256</v>
      </c>
      <c r="C6">
        <v>0</v>
      </c>
      <c r="D6">
        <v>0</v>
      </c>
      <c r="E6">
        <v>0</v>
      </c>
      <c r="F6">
        <v>0</v>
      </c>
      <c r="G6">
        <f t="shared" si="3"/>
        <v>1</v>
      </c>
      <c r="H6">
        <f t="shared" si="4"/>
        <v>1</v>
      </c>
      <c r="I6">
        <f t="shared" si="5"/>
        <v>1</v>
      </c>
      <c r="J6">
        <f t="shared" si="6"/>
        <v>1</v>
      </c>
      <c r="K6">
        <f t="shared" si="7"/>
        <v>0</v>
      </c>
      <c r="L6">
        <f t="shared" si="8"/>
        <v>0</v>
      </c>
      <c r="M6">
        <f t="shared" si="9"/>
        <v>0</v>
      </c>
      <c r="N6">
        <f t="shared" si="10"/>
        <v>0</v>
      </c>
    </row>
    <row r="7" spans="2:15" x14ac:dyDescent="0.2">
      <c r="B7">
        <f t="shared" si="2"/>
        <v>128</v>
      </c>
      <c r="C7">
        <v>0</v>
      </c>
      <c r="D7">
        <v>0</v>
      </c>
      <c r="E7">
        <v>0</v>
      </c>
      <c r="F7">
        <v>0</v>
      </c>
      <c r="G7">
        <f t="shared" si="3"/>
        <v>1</v>
      </c>
      <c r="H7">
        <f t="shared" si="4"/>
        <v>1</v>
      </c>
      <c r="I7">
        <f t="shared" si="5"/>
        <v>1</v>
      </c>
      <c r="J7">
        <f t="shared" si="6"/>
        <v>1</v>
      </c>
      <c r="K7">
        <f t="shared" si="7"/>
        <v>0</v>
      </c>
      <c r="L7">
        <f t="shared" si="8"/>
        <v>0</v>
      </c>
      <c r="M7">
        <f t="shared" si="9"/>
        <v>0</v>
      </c>
      <c r="N7">
        <f t="shared" si="10"/>
        <v>0</v>
      </c>
    </row>
    <row r="8" spans="2:15" x14ac:dyDescent="0.2">
      <c r="B8">
        <f t="shared" si="2"/>
        <v>64</v>
      </c>
      <c r="C8">
        <v>0</v>
      </c>
      <c r="D8">
        <v>0</v>
      </c>
      <c r="E8">
        <v>0</v>
      </c>
      <c r="F8">
        <v>0</v>
      </c>
      <c r="G8">
        <f t="shared" si="3"/>
        <v>1</v>
      </c>
      <c r="H8">
        <f t="shared" si="4"/>
        <v>1</v>
      </c>
      <c r="I8">
        <f t="shared" si="5"/>
        <v>1</v>
      </c>
      <c r="J8">
        <f t="shared" si="6"/>
        <v>1</v>
      </c>
      <c r="K8">
        <f t="shared" si="7"/>
        <v>0</v>
      </c>
      <c r="L8">
        <f t="shared" si="8"/>
        <v>0</v>
      </c>
      <c r="M8">
        <f t="shared" si="9"/>
        <v>0</v>
      </c>
      <c r="N8">
        <f t="shared" si="10"/>
        <v>0</v>
      </c>
    </row>
    <row r="9" spans="2:15" x14ac:dyDescent="0.2">
      <c r="B9">
        <f t="shared" si="2"/>
        <v>32</v>
      </c>
      <c r="C9">
        <v>0</v>
      </c>
      <c r="D9">
        <v>0</v>
      </c>
      <c r="E9">
        <v>0</v>
      </c>
      <c r="F9">
        <v>0</v>
      </c>
      <c r="G9">
        <f t="shared" ref="G9:G13" si="11">IF(AND(C9=MAX(C9:F9),G8=1),1,0)</f>
        <v>1</v>
      </c>
      <c r="H9">
        <f t="shared" ref="H9:H13" si="12">IF(AND(D9=MAX(C9:F9),H8=1),1,0)</f>
        <v>1</v>
      </c>
      <c r="I9">
        <f t="shared" si="5"/>
        <v>1</v>
      </c>
      <c r="J9">
        <f t="shared" si="6"/>
        <v>1</v>
      </c>
      <c r="K9">
        <f t="shared" si="7"/>
        <v>0</v>
      </c>
      <c r="L9">
        <f t="shared" si="8"/>
        <v>0</v>
      </c>
      <c r="M9">
        <f t="shared" si="9"/>
        <v>0</v>
      </c>
      <c r="N9">
        <f t="shared" si="10"/>
        <v>0</v>
      </c>
    </row>
    <row r="10" spans="2:15" x14ac:dyDescent="0.2">
      <c r="B10">
        <f t="shared" si="2"/>
        <v>16</v>
      </c>
      <c r="C10">
        <v>0</v>
      </c>
      <c r="D10">
        <v>0</v>
      </c>
      <c r="E10">
        <v>0</v>
      </c>
      <c r="F10">
        <v>0</v>
      </c>
      <c r="G10">
        <v>1</v>
      </c>
      <c r="H10">
        <f t="shared" si="12"/>
        <v>1</v>
      </c>
      <c r="I10">
        <f t="shared" si="5"/>
        <v>1</v>
      </c>
      <c r="J10">
        <f t="shared" si="6"/>
        <v>1</v>
      </c>
      <c r="K10">
        <f t="shared" si="7"/>
        <v>0</v>
      </c>
      <c r="L10">
        <f t="shared" si="8"/>
        <v>0</v>
      </c>
      <c r="M10">
        <f t="shared" si="9"/>
        <v>0</v>
      </c>
      <c r="N10">
        <f t="shared" si="10"/>
        <v>0</v>
      </c>
    </row>
    <row r="11" spans="2:15" x14ac:dyDescent="0.2">
      <c r="B11">
        <f t="shared" si="2"/>
        <v>8</v>
      </c>
      <c r="C11">
        <v>0</v>
      </c>
      <c r="D11">
        <v>0</v>
      </c>
      <c r="E11">
        <v>0</v>
      </c>
      <c r="F11">
        <v>0</v>
      </c>
      <c r="G11">
        <f t="shared" si="11"/>
        <v>1</v>
      </c>
      <c r="H11">
        <f t="shared" si="12"/>
        <v>1</v>
      </c>
      <c r="I11">
        <f t="shared" si="5"/>
        <v>1</v>
      </c>
      <c r="J11">
        <f t="shared" si="6"/>
        <v>1</v>
      </c>
      <c r="K11">
        <f t="shared" si="7"/>
        <v>0</v>
      </c>
      <c r="L11">
        <f t="shared" si="8"/>
        <v>0</v>
      </c>
      <c r="M11">
        <f t="shared" si="9"/>
        <v>0</v>
      </c>
      <c r="N11">
        <f t="shared" si="10"/>
        <v>0</v>
      </c>
    </row>
    <row r="12" spans="2:15" x14ac:dyDescent="0.2">
      <c r="B12">
        <f t="shared" si="2"/>
        <v>4</v>
      </c>
      <c r="C12">
        <v>0</v>
      </c>
      <c r="D12">
        <v>0</v>
      </c>
      <c r="E12">
        <v>0</v>
      </c>
      <c r="F12">
        <v>0</v>
      </c>
      <c r="G12">
        <f t="shared" si="11"/>
        <v>1</v>
      </c>
      <c r="H12">
        <f t="shared" si="12"/>
        <v>1</v>
      </c>
      <c r="I12">
        <f t="shared" si="5"/>
        <v>1</v>
      </c>
      <c r="J12">
        <f t="shared" si="6"/>
        <v>1</v>
      </c>
      <c r="K12">
        <f t="shared" si="7"/>
        <v>0</v>
      </c>
      <c r="L12">
        <f t="shared" si="8"/>
        <v>0</v>
      </c>
      <c r="M12">
        <f t="shared" si="9"/>
        <v>0</v>
      </c>
      <c r="N12">
        <f t="shared" si="10"/>
        <v>0</v>
      </c>
    </row>
    <row r="13" spans="2:15" x14ac:dyDescent="0.2">
      <c r="B13">
        <f t="shared" si="2"/>
        <v>2</v>
      </c>
      <c r="C13">
        <v>1</v>
      </c>
      <c r="D13">
        <v>1</v>
      </c>
      <c r="E13">
        <v>1</v>
      </c>
      <c r="F13">
        <v>1</v>
      </c>
      <c r="G13">
        <f t="shared" si="11"/>
        <v>1</v>
      </c>
      <c r="H13">
        <f t="shared" si="12"/>
        <v>1</v>
      </c>
      <c r="I13">
        <f t="shared" si="5"/>
        <v>1</v>
      </c>
      <c r="J13">
        <f t="shared" si="6"/>
        <v>1</v>
      </c>
      <c r="K13">
        <f t="shared" si="7"/>
        <v>1</v>
      </c>
      <c r="L13">
        <f t="shared" si="8"/>
        <v>1</v>
      </c>
      <c r="M13">
        <f t="shared" si="9"/>
        <v>1</v>
      </c>
      <c r="N13">
        <f t="shared" si="10"/>
        <v>1</v>
      </c>
    </row>
    <row r="18" spans="3:5" x14ac:dyDescent="0.2">
      <c r="C18" t="s">
        <v>30</v>
      </c>
      <c r="D18" t="s">
        <v>31</v>
      </c>
      <c r="E18" t="s">
        <v>34</v>
      </c>
    </row>
    <row r="19" spans="3:5" x14ac:dyDescent="0.2">
      <c r="C19">
        <v>2</v>
      </c>
      <c r="D19">
        <v>2</v>
      </c>
      <c r="E19">
        <v>0</v>
      </c>
    </row>
    <row r="21" spans="3:5" x14ac:dyDescent="0.2">
      <c r="C21" t="s">
        <v>32</v>
      </c>
    </row>
    <row r="22" spans="3:5" x14ac:dyDescent="0.2">
      <c r="C22" t="s">
        <v>41</v>
      </c>
    </row>
    <row r="30" spans="3:5" x14ac:dyDescent="0.2">
      <c r="C30" t="s">
        <v>36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2:P75"/>
  <sheetViews>
    <sheetView topLeftCell="A22" workbookViewId="0">
      <selection activeCell="A2" sqref="A2"/>
    </sheetView>
  </sheetViews>
  <sheetFormatPr baseColWidth="10" defaultColWidth="8.83203125" defaultRowHeight="15" x14ac:dyDescent="0.2"/>
  <cols>
    <col min="2" max="2" width="8.6640625" customWidth="1"/>
    <col min="3" max="3" width="12.5" bestFit="1" customWidth="1"/>
    <col min="4" max="4" width="10.5" bestFit="1" customWidth="1"/>
    <col min="5" max="5" width="9.33203125" bestFit="1" customWidth="1"/>
    <col min="6" max="6" width="11.33203125" bestFit="1" customWidth="1"/>
    <col min="7" max="7" width="8.6640625" bestFit="1" customWidth="1"/>
    <col min="8" max="8" width="9.5" bestFit="1" customWidth="1"/>
    <col min="9" max="9" width="8.6640625" customWidth="1"/>
    <col min="10" max="10" width="10.5" bestFit="1" customWidth="1"/>
    <col min="11" max="11" width="8.6640625" customWidth="1"/>
    <col min="12" max="12" width="8.5" bestFit="1" customWidth="1"/>
    <col min="13" max="13" width="10.5" bestFit="1" customWidth="1"/>
    <col min="14" max="14" width="7.83203125" customWidth="1"/>
    <col min="15" max="15" width="10" bestFit="1" customWidth="1"/>
  </cols>
  <sheetData>
    <row r="2" spans="1:16" x14ac:dyDescent="0.2">
      <c r="A2" t="s">
        <v>21</v>
      </c>
      <c r="B2" t="s">
        <v>6</v>
      </c>
      <c r="C2" t="s">
        <v>20</v>
      </c>
      <c r="D2" t="s">
        <v>7</v>
      </c>
      <c r="E2" t="s">
        <v>8</v>
      </c>
      <c r="F2" t="s">
        <v>9</v>
      </c>
      <c r="G2" t="s">
        <v>10</v>
      </c>
      <c r="H2" t="s">
        <v>16</v>
      </c>
      <c r="I2" t="s">
        <v>17</v>
      </c>
      <c r="J2" t="s">
        <v>18</v>
      </c>
      <c r="K2" t="s">
        <v>19</v>
      </c>
      <c r="M2">
        <v>1</v>
      </c>
      <c r="N2">
        <v>3</v>
      </c>
      <c r="O2">
        <v>5</v>
      </c>
      <c r="P2">
        <v>7</v>
      </c>
    </row>
    <row r="3" spans="1:16" x14ac:dyDescent="0.2">
      <c r="B3">
        <v>2048</v>
      </c>
      <c r="C3">
        <v>0</v>
      </c>
      <c r="D3">
        <v>0</v>
      </c>
      <c r="E3">
        <v>0</v>
      </c>
      <c r="F3">
        <v>0</v>
      </c>
      <c r="G3">
        <v>0</v>
      </c>
      <c r="H3">
        <f>IF(D3-$C3&gt;0,D3-$C3,0)*$B3</f>
        <v>0</v>
      </c>
      <c r="I3">
        <f t="shared" ref="I3:K3" si="0">IF(E3-$C3&gt;0,E3-$C3,0)*$B3</f>
        <v>0</v>
      </c>
      <c r="J3">
        <f t="shared" si="0"/>
        <v>0</v>
      </c>
      <c r="K3">
        <f t="shared" si="0"/>
        <v>0</v>
      </c>
      <c r="M3">
        <v>9</v>
      </c>
      <c r="N3">
        <v>11</v>
      </c>
      <c r="O3">
        <v>13</v>
      </c>
      <c r="P3">
        <v>15</v>
      </c>
    </row>
    <row r="4" spans="1:16" x14ac:dyDescent="0.2">
      <c r="B4">
        <f>B3/2</f>
        <v>1024</v>
      </c>
      <c r="C4">
        <v>0</v>
      </c>
      <c r="D4">
        <v>0</v>
      </c>
      <c r="E4">
        <v>0</v>
      </c>
      <c r="F4">
        <v>0</v>
      </c>
      <c r="G4">
        <v>0</v>
      </c>
      <c r="H4">
        <f t="shared" ref="H4:H13" si="1">IF(D4-$C4&gt;0,D4-$C4,0)*$B4</f>
        <v>0</v>
      </c>
      <c r="I4">
        <f t="shared" ref="I4:I13" si="2">IF(E4-$C4&gt;0,E4-$C4,0)*$B4</f>
        <v>0</v>
      </c>
      <c r="J4">
        <f t="shared" ref="J4:J13" si="3">IF(F4-$C4&gt;0,F4-$C4,0)*$B4</f>
        <v>0</v>
      </c>
      <c r="K4">
        <f t="shared" ref="K4:K13" si="4">IF(G4-$C4&gt;0,G4-$C4,0)*$B4</f>
        <v>0</v>
      </c>
      <c r="M4">
        <v>17</v>
      </c>
      <c r="N4">
        <v>19</v>
      </c>
      <c r="O4">
        <v>21</v>
      </c>
      <c r="P4">
        <v>23</v>
      </c>
    </row>
    <row r="5" spans="1:16" x14ac:dyDescent="0.2">
      <c r="B5">
        <f t="shared" ref="B5:B13" si="5">B4/2</f>
        <v>512</v>
      </c>
      <c r="C5">
        <v>0</v>
      </c>
      <c r="D5">
        <v>0</v>
      </c>
      <c r="E5">
        <v>0</v>
      </c>
      <c r="F5">
        <v>0</v>
      </c>
      <c r="G5">
        <v>0</v>
      </c>
      <c r="H5">
        <f t="shared" si="1"/>
        <v>0</v>
      </c>
      <c r="I5">
        <f t="shared" si="2"/>
        <v>0</v>
      </c>
      <c r="J5">
        <f t="shared" si="3"/>
        <v>0</v>
      </c>
      <c r="K5">
        <f t="shared" si="4"/>
        <v>0</v>
      </c>
      <c r="M5">
        <v>25</v>
      </c>
      <c r="N5">
        <v>27</v>
      </c>
      <c r="O5">
        <v>29</v>
      </c>
      <c r="P5">
        <v>1</v>
      </c>
    </row>
    <row r="6" spans="1:16" x14ac:dyDescent="0.2">
      <c r="B6">
        <f t="shared" si="5"/>
        <v>256</v>
      </c>
      <c r="C6">
        <v>0</v>
      </c>
      <c r="D6">
        <v>0</v>
      </c>
      <c r="E6">
        <v>0</v>
      </c>
      <c r="F6">
        <v>0</v>
      </c>
      <c r="G6">
        <v>0</v>
      </c>
      <c r="H6">
        <f t="shared" si="1"/>
        <v>0</v>
      </c>
      <c r="I6">
        <f t="shared" si="2"/>
        <v>0</v>
      </c>
      <c r="J6">
        <f t="shared" si="3"/>
        <v>0</v>
      </c>
      <c r="K6">
        <f t="shared" si="4"/>
        <v>0</v>
      </c>
    </row>
    <row r="7" spans="1:16" x14ac:dyDescent="0.2">
      <c r="B7">
        <f t="shared" si="5"/>
        <v>128</v>
      </c>
      <c r="C7">
        <v>0</v>
      </c>
      <c r="D7">
        <v>0</v>
      </c>
      <c r="E7">
        <v>0</v>
      </c>
      <c r="F7">
        <v>0</v>
      </c>
      <c r="G7">
        <v>0</v>
      </c>
      <c r="H7">
        <f t="shared" si="1"/>
        <v>0</v>
      </c>
      <c r="I7">
        <f t="shared" si="2"/>
        <v>0</v>
      </c>
      <c r="J7">
        <f t="shared" si="3"/>
        <v>0</v>
      </c>
      <c r="K7">
        <f t="shared" si="4"/>
        <v>0</v>
      </c>
    </row>
    <row r="8" spans="1:16" x14ac:dyDescent="0.2">
      <c r="B8">
        <f t="shared" si="5"/>
        <v>64</v>
      </c>
      <c r="C8">
        <v>0</v>
      </c>
      <c r="D8">
        <v>0</v>
      </c>
      <c r="E8">
        <v>0</v>
      </c>
      <c r="F8">
        <v>0</v>
      </c>
      <c r="G8">
        <v>0</v>
      </c>
      <c r="H8">
        <f t="shared" si="1"/>
        <v>0</v>
      </c>
      <c r="I8">
        <f t="shared" si="2"/>
        <v>0</v>
      </c>
      <c r="J8">
        <f t="shared" si="3"/>
        <v>0</v>
      </c>
      <c r="K8">
        <f t="shared" si="4"/>
        <v>0</v>
      </c>
    </row>
    <row r="9" spans="1:16" x14ac:dyDescent="0.2">
      <c r="B9">
        <f t="shared" si="5"/>
        <v>32</v>
      </c>
      <c r="C9">
        <v>0</v>
      </c>
      <c r="D9">
        <v>0</v>
      </c>
      <c r="E9">
        <v>0</v>
      </c>
      <c r="F9">
        <v>0</v>
      </c>
      <c r="G9">
        <v>0</v>
      </c>
      <c r="H9">
        <f t="shared" si="1"/>
        <v>0</v>
      </c>
      <c r="I9">
        <f t="shared" si="2"/>
        <v>0</v>
      </c>
      <c r="J9">
        <f t="shared" si="3"/>
        <v>0</v>
      </c>
      <c r="K9">
        <f t="shared" si="4"/>
        <v>0</v>
      </c>
    </row>
    <row r="10" spans="1:16" x14ac:dyDescent="0.2">
      <c r="B10">
        <f t="shared" si="5"/>
        <v>16</v>
      </c>
      <c r="C10">
        <v>0</v>
      </c>
      <c r="D10">
        <v>0</v>
      </c>
      <c r="E10">
        <v>0</v>
      </c>
      <c r="F10">
        <v>0</v>
      </c>
      <c r="G10">
        <v>0</v>
      </c>
      <c r="H10">
        <f t="shared" si="1"/>
        <v>0</v>
      </c>
      <c r="I10">
        <f t="shared" si="2"/>
        <v>0</v>
      </c>
      <c r="J10">
        <f t="shared" si="3"/>
        <v>0</v>
      </c>
      <c r="K10">
        <f t="shared" si="4"/>
        <v>0</v>
      </c>
    </row>
    <row r="11" spans="1:16" x14ac:dyDescent="0.2">
      <c r="B11">
        <f t="shared" si="5"/>
        <v>8</v>
      </c>
      <c r="C11">
        <v>0</v>
      </c>
      <c r="D11">
        <v>0</v>
      </c>
      <c r="E11">
        <v>0</v>
      </c>
      <c r="F11">
        <v>0</v>
      </c>
      <c r="G11">
        <v>0</v>
      </c>
      <c r="H11">
        <f t="shared" si="1"/>
        <v>0</v>
      </c>
      <c r="I11">
        <f t="shared" si="2"/>
        <v>0</v>
      </c>
      <c r="J11">
        <f t="shared" si="3"/>
        <v>0</v>
      </c>
      <c r="K11">
        <f t="shared" si="4"/>
        <v>0</v>
      </c>
    </row>
    <row r="12" spans="1:16" x14ac:dyDescent="0.2">
      <c r="B12">
        <f t="shared" si="5"/>
        <v>4</v>
      </c>
      <c r="C12">
        <v>0</v>
      </c>
      <c r="D12">
        <v>1</v>
      </c>
      <c r="E12">
        <v>1</v>
      </c>
      <c r="F12">
        <v>1</v>
      </c>
      <c r="G12">
        <v>1</v>
      </c>
      <c r="H12">
        <f t="shared" si="1"/>
        <v>4</v>
      </c>
      <c r="I12">
        <f t="shared" si="2"/>
        <v>4</v>
      </c>
      <c r="J12">
        <f t="shared" si="3"/>
        <v>4</v>
      </c>
      <c r="K12">
        <f t="shared" si="4"/>
        <v>4</v>
      </c>
    </row>
    <row r="13" spans="1:16" x14ac:dyDescent="0.2">
      <c r="B13">
        <f t="shared" si="5"/>
        <v>2</v>
      </c>
      <c r="C13">
        <v>0</v>
      </c>
      <c r="D13">
        <v>4</v>
      </c>
      <c r="E13">
        <v>4</v>
      </c>
      <c r="F13">
        <v>2</v>
      </c>
      <c r="G13">
        <v>2</v>
      </c>
      <c r="H13">
        <f t="shared" si="1"/>
        <v>8</v>
      </c>
      <c r="I13">
        <f t="shared" si="2"/>
        <v>8</v>
      </c>
      <c r="J13">
        <f t="shared" si="3"/>
        <v>4</v>
      </c>
      <c r="K13">
        <f t="shared" si="4"/>
        <v>4</v>
      </c>
    </row>
    <row r="14" spans="1:16" x14ac:dyDescent="0.2">
      <c r="H14">
        <f>SUM(H3:H13)</f>
        <v>12</v>
      </c>
      <c r="I14">
        <f t="shared" ref="I14:K14" si="6">SUM(I3:I13)</f>
        <v>12</v>
      </c>
      <c r="J14">
        <f t="shared" si="6"/>
        <v>8</v>
      </c>
      <c r="K14">
        <f t="shared" si="6"/>
        <v>8</v>
      </c>
    </row>
    <row r="16" spans="1:16" x14ac:dyDescent="0.2">
      <c r="A16" t="s">
        <v>22</v>
      </c>
      <c r="B16" t="s">
        <v>6</v>
      </c>
      <c r="C16" t="s">
        <v>20</v>
      </c>
      <c r="D16" t="s">
        <v>7</v>
      </c>
      <c r="E16" t="s">
        <v>8</v>
      </c>
      <c r="F16" t="s">
        <v>9</v>
      </c>
      <c r="G16" t="s">
        <v>10</v>
      </c>
      <c r="H16" t="s">
        <v>16</v>
      </c>
      <c r="I16" t="s">
        <v>17</v>
      </c>
      <c r="J16" t="s">
        <v>18</v>
      </c>
      <c r="K16" t="s">
        <v>19</v>
      </c>
      <c r="M16">
        <v>1</v>
      </c>
      <c r="N16">
        <v>3</v>
      </c>
      <c r="O16">
        <v>5</v>
      </c>
      <c r="P16">
        <v>7</v>
      </c>
    </row>
    <row r="17" spans="1:16" x14ac:dyDescent="0.2">
      <c r="B17">
        <v>2048</v>
      </c>
      <c r="C17">
        <v>0</v>
      </c>
      <c r="D17">
        <v>0</v>
      </c>
      <c r="E17">
        <v>0</v>
      </c>
      <c r="F17">
        <v>0</v>
      </c>
      <c r="G17">
        <v>0</v>
      </c>
      <c r="H17">
        <f>IF(D17-$C17&gt;0,D17-$C17,0)*$B17</f>
        <v>0</v>
      </c>
      <c r="I17">
        <f t="shared" ref="I17:I27" si="7">IF(E17-$C17&gt;0,E17-$C17,0)*$B17</f>
        <v>0</v>
      </c>
      <c r="J17">
        <f t="shared" ref="J17:J27" si="8">IF(F17-$C17&gt;0,F17-$C17,0)*$B17</f>
        <v>0</v>
      </c>
      <c r="K17">
        <f t="shared" ref="K17:K27" si="9">IF(G17-$C17&gt;0,G17-$C17,0)*$B17</f>
        <v>0</v>
      </c>
      <c r="M17">
        <v>9</v>
      </c>
      <c r="N17">
        <v>11</v>
      </c>
      <c r="O17">
        <v>13</v>
      </c>
      <c r="P17">
        <v>15</v>
      </c>
    </row>
    <row r="18" spans="1:16" x14ac:dyDescent="0.2">
      <c r="B18">
        <f>B17/2</f>
        <v>1024</v>
      </c>
      <c r="C18">
        <v>0</v>
      </c>
      <c r="D18">
        <v>0</v>
      </c>
      <c r="E18">
        <v>0</v>
      </c>
      <c r="F18">
        <v>0</v>
      </c>
      <c r="G18">
        <v>0</v>
      </c>
      <c r="H18">
        <f t="shared" ref="H18:H27" si="10">IF(D18-$C18&gt;0,D18-$C18,0)*$B18</f>
        <v>0</v>
      </c>
      <c r="I18">
        <f t="shared" si="7"/>
        <v>0</v>
      </c>
      <c r="J18">
        <f t="shared" si="8"/>
        <v>0</v>
      </c>
      <c r="K18">
        <f t="shared" si="9"/>
        <v>0</v>
      </c>
      <c r="M18">
        <v>17</v>
      </c>
      <c r="N18">
        <v>19</v>
      </c>
      <c r="O18">
        <v>21</v>
      </c>
      <c r="P18">
        <v>23</v>
      </c>
    </row>
    <row r="19" spans="1:16" x14ac:dyDescent="0.2">
      <c r="B19">
        <f t="shared" ref="B19:B27" si="11">B18/2</f>
        <v>512</v>
      </c>
      <c r="C19">
        <v>0</v>
      </c>
      <c r="D19">
        <v>0</v>
      </c>
      <c r="E19">
        <v>0</v>
      </c>
      <c r="F19">
        <v>0</v>
      </c>
      <c r="G19">
        <v>0</v>
      </c>
      <c r="H19">
        <f t="shared" si="10"/>
        <v>0</v>
      </c>
      <c r="I19">
        <f t="shared" si="7"/>
        <v>0</v>
      </c>
      <c r="J19">
        <f t="shared" si="8"/>
        <v>0</v>
      </c>
      <c r="K19">
        <f t="shared" si="9"/>
        <v>0</v>
      </c>
      <c r="M19">
        <v>25</v>
      </c>
      <c r="N19">
        <v>27</v>
      </c>
      <c r="O19">
        <v>29</v>
      </c>
      <c r="P19">
        <v>1</v>
      </c>
    </row>
    <row r="20" spans="1:16" x14ac:dyDescent="0.2">
      <c r="B20">
        <f t="shared" si="11"/>
        <v>256</v>
      </c>
      <c r="C20">
        <v>0</v>
      </c>
      <c r="D20">
        <v>0</v>
      </c>
      <c r="E20">
        <v>0</v>
      </c>
      <c r="F20">
        <v>0</v>
      </c>
      <c r="G20">
        <v>0</v>
      </c>
      <c r="H20">
        <f t="shared" si="10"/>
        <v>0</v>
      </c>
      <c r="I20">
        <f t="shared" si="7"/>
        <v>0</v>
      </c>
      <c r="J20">
        <f t="shared" si="8"/>
        <v>0</v>
      </c>
      <c r="K20">
        <f t="shared" si="9"/>
        <v>0</v>
      </c>
    </row>
    <row r="21" spans="1:16" x14ac:dyDescent="0.2">
      <c r="B21">
        <f t="shared" si="11"/>
        <v>128</v>
      </c>
      <c r="C21">
        <v>0</v>
      </c>
      <c r="D21">
        <v>0</v>
      </c>
      <c r="E21">
        <v>0</v>
      </c>
      <c r="F21">
        <v>0</v>
      </c>
      <c r="G21">
        <v>0</v>
      </c>
      <c r="H21">
        <f t="shared" si="10"/>
        <v>0</v>
      </c>
      <c r="I21">
        <f t="shared" si="7"/>
        <v>0</v>
      </c>
      <c r="J21">
        <f t="shared" si="8"/>
        <v>0</v>
      </c>
      <c r="K21">
        <f t="shared" si="9"/>
        <v>0</v>
      </c>
    </row>
    <row r="22" spans="1:16" x14ac:dyDescent="0.2">
      <c r="B22">
        <f t="shared" si="11"/>
        <v>64</v>
      </c>
      <c r="C22">
        <v>0</v>
      </c>
      <c r="D22">
        <v>0</v>
      </c>
      <c r="E22">
        <v>0</v>
      </c>
      <c r="F22">
        <v>0</v>
      </c>
      <c r="G22">
        <v>0</v>
      </c>
      <c r="H22">
        <f t="shared" si="10"/>
        <v>0</v>
      </c>
      <c r="I22">
        <f t="shared" si="7"/>
        <v>0</v>
      </c>
      <c r="J22">
        <f t="shared" si="8"/>
        <v>0</v>
      </c>
      <c r="K22">
        <f t="shared" si="9"/>
        <v>0</v>
      </c>
    </row>
    <row r="23" spans="1:16" x14ac:dyDescent="0.2">
      <c r="B23">
        <f t="shared" si="11"/>
        <v>32</v>
      </c>
      <c r="C23">
        <v>0</v>
      </c>
      <c r="D23">
        <v>0</v>
      </c>
      <c r="E23">
        <v>0</v>
      </c>
      <c r="F23">
        <v>0</v>
      </c>
      <c r="G23">
        <v>0</v>
      </c>
      <c r="H23">
        <f t="shared" si="10"/>
        <v>0</v>
      </c>
      <c r="I23">
        <f t="shared" si="7"/>
        <v>0</v>
      </c>
      <c r="J23">
        <f t="shared" si="8"/>
        <v>0</v>
      </c>
      <c r="K23">
        <f t="shared" si="9"/>
        <v>0</v>
      </c>
    </row>
    <row r="24" spans="1:16" x14ac:dyDescent="0.2">
      <c r="B24">
        <f t="shared" si="11"/>
        <v>16</v>
      </c>
      <c r="C24">
        <v>0</v>
      </c>
      <c r="D24">
        <v>0</v>
      </c>
      <c r="E24">
        <v>0</v>
      </c>
      <c r="F24">
        <v>0</v>
      </c>
      <c r="G24">
        <v>0</v>
      </c>
      <c r="H24">
        <f t="shared" si="10"/>
        <v>0</v>
      </c>
      <c r="I24">
        <f t="shared" si="7"/>
        <v>0</v>
      </c>
      <c r="J24">
        <f t="shared" si="8"/>
        <v>0</v>
      </c>
      <c r="K24">
        <f t="shared" si="9"/>
        <v>0</v>
      </c>
    </row>
    <row r="25" spans="1:16" x14ac:dyDescent="0.2">
      <c r="B25">
        <f t="shared" si="11"/>
        <v>8</v>
      </c>
      <c r="C25">
        <v>0</v>
      </c>
      <c r="D25">
        <v>0</v>
      </c>
      <c r="E25">
        <v>0</v>
      </c>
      <c r="F25">
        <v>0</v>
      </c>
      <c r="G25">
        <v>0</v>
      </c>
      <c r="H25">
        <f t="shared" si="10"/>
        <v>0</v>
      </c>
      <c r="I25">
        <f t="shared" si="7"/>
        <v>0</v>
      </c>
      <c r="J25">
        <f t="shared" si="8"/>
        <v>0</v>
      </c>
      <c r="K25">
        <f t="shared" si="9"/>
        <v>0</v>
      </c>
    </row>
    <row r="26" spans="1:16" x14ac:dyDescent="0.2">
      <c r="B26">
        <f t="shared" si="11"/>
        <v>4</v>
      </c>
      <c r="C26">
        <v>1</v>
      </c>
      <c r="D26">
        <v>2</v>
      </c>
      <c r="E26">
        <v>2</v>
      </c>
      <c r="F26">
        <v>2</v>
      </c>
      <c r="G26">
        <v>2</v>
      </c>
      <c r="H26">
        <f t="shared" si="10"/>
        <v>4</v>
      </c>
      <c r="I26">
        <f t="shared" si="7"/>
        <v>4</v>
      </c>
      <c r="J26">
        <f t="shared" si="8"/>
        <v>4</v>
      </c>
      <c r="K26">
        <f t="shared" si="9"/>
        <v>4</v>
      </c>
    </row>
    <row r="27" spans="1:16" x14ac:dyDescent="0.2">
      <c r="B27">
        <f t="shared" si="11"/>
        <v>2</v>
      </c>
      <c r="C27">
        <v>4</v>
      </c>
      <c r="D27">
        <v>2</v>
      </c>
      <c r="E27">
        <v>2</v>
      </c>
      <c r="F27">
        <v>2</v>
      </c>
      <c r="G27">
        <v>2</v>
      </c>
      <c r="H27">
        <f t="shared" si="10"/>
        <v>0</v>
      </c>
      <c r="I27">
        <f t="shared" si="7"/>
        <v>0</v>
      </c>
      <c r="J27">
        <f t="shared" si="8"/>
        <v>0</v>
      </c>
      <c r="K27">
        <f t="shared" si="9"/>
        <v>0</v>
      </c>
    </row>
    <row r="28" spans="1:16" x14ac:dyDescent="0.2">
      <c r="H28">
        <f>SUM(H17:H27)+$H$14</f>
        <v>16</v>
      </c>
      <c r="I28">
        <f t="shared" ref="I28:K28" si="12">SUM(I17:I27)+$H$14</f>
        <v>16</v>
      </c>
      <c r="J28">
        <f t="shared" si="12"/>
        <v>16</v>
      </c>
      <c r="K28">
        <f t="shared" si="12"/>
        <v>16</v>
      </c>
    </row>
    <row r="30" spans="1:16" x14ac:dyDescent="0.2">
      <c r="A30" t="s">
        <v>23</v>
      </c>
      <c r="B30" t="s">
        <v>6</v>
      </c>
      <c r="C30" t="s">
        <v>20</v>
      </c>
      <c r="D30" t="s">
        <v>7</v>
      </c>
      <c r="E30" t="s">
        <v>8</v>
      </c>
      <c r="F30" t="s">
        <v>9</v>
      </c>
      <c r="G30" t="s">
        <v>10</v>
      </c>
      <c r="H30" t="s">
        <v>16</v>
      </c>
      <c r="I30" t="s">
        <v>17</v>
      </c>
      <c r="J30" t="s">
        <v>18</v>
      </c>
      <c r="K30" t="s">
        <v>19</v>
      </c>
      <c r="M30">
        <v>1</v>
      </c>
      <c r="N30">
        <v>3</v>
      </c>
      <c r="O30">
        <v>5</v>
      </c>
      <c r="P30">
        <v>7</v>
      </c>
    </row>
    <row r="31" spans="1:16" x14ac:dyDescent="0.2">
      <c r="B31">
        <v>2048</v>
      </c>
      <c r="C31">
        <v>0</v>
      </c>
      <c r="D31">
        <v>0</v>
      </c>
      <c r="E31">
        <v>0</v>
      </c>
      <c r="F31">
        <v>0</v>
      </c>
      <c r="G31">
        <v>0</v>
      </c>
      <c r="H31">
        <f>IF(D31-$C31&gt;0,D31-$C31,0)*$B31</f>
        <v>0</v>
      </c>
      <c r="I31">
        <f t="shared" ref="I31:I41" si="13">IF(E31-$C31&gt;0,E31-$C31,0)*$B31</f>
        <v>0</v>
      </c>
      <c r="J31">
        <f t="shared" ref="J31:J41" si="14">IF(F31-$C31&gt;0,F31-$C31,0)*$B31</f>
        <v>0</v>
      </c>
      <c r="K31">
        <f t="shared" ref="K31:K41" si="15">IF(G31-$C31&gt;0,G31-$C31,0)*$B31</f>
        <v>0</v>
      </c>
      <c r="M31">
        <v>9</v>
      </c>
      <c r="N31">
        <v>11</v>
      </c>
      <c r="O31">
        <v>13</v>
      </c>
      <c r="P31">
        <v>15</v>
      </c>
    </row>
    <row r="32" spans="1:16" x14ac:dyDescent="0.2">
      <c r="B32">
        <f>B31/2</f>
        <v>1024</v>
      </c>
      <c r="C32">
        <v>0</v>
      </c>
      <c r="D32">
        <v>0</v>
      </c>
      <c r="E32">
        <v>0</v>
      </c>
      <c r="F32">
        <v>0</v>
      </c>
      <c r="G32">
        <v>0</v>
      </c>
      <c r="H32">
        <f t="shared" ref="H32:H41" si="16">IF(D32-$C32&gt;0,D32-$C32,0)*$B32</f>
        <v>0</v>
      </c>
      <c r="I32">
        <f t="shared" si="13"/>
        <v>0</v>
      </c>
      <c r="J32">
        <f t="shared" si="14"/>
        <v>0</v>
      </c>
      <c r="K32">
        <f t="shared" si="15"/>
        <v>0</v>
      </c>
      <c r="M32">
        <v>17</v>
      </c>
      <c r="N32">
        <v>19</v>
      </c>
      <c r="O32">
        <v>21</v>
      </c>
      <c r="P32">
        <v>23</v>
      </c>
    </row>
    <row r="33" spans="1:16" x14ac:dyDescent="0.2">
      <c r="B33">
        <f t="shared" ref="B33:B41" si="17">B32/2</f>
        <v>512</v>
      </c>
      <c r="C33">
        <v>0</v>
      </c>
      <c r="D33">
        <v>0</v>
      </c>
      <c r="E33">
        <v>0</v>
      </c>
      <c r="F33">
        <v>0</v>
      </c>
      <c r="G33">
        <v>0</v>
      </c>
      <c r="H33">
        <f t="shared" si="16"/>
        <v>0</v>
      </c>
      <c r="I33">
        <f t="shared" si="13"/>
        <v>0</v>
      </c>
      <c r="J33">
        <f t="shared" si="14"/>
        <v>0</v>
      </c>
      <c r="K33">
        <f t="shared" si="15"/>
        <v>0</v>
      </c>
      <c r="M33">
        <v>25</v>
      </c>
      <c r="N33">
        <v>27</v>
      </c>
      <c r="O33">
        <v>29</v>
      </c>
      <c r="P33">
        <v>1</v>
      </c>
    </row>
    <row r="34" spans="1:16" x14ac:dyDescent="0.2">
      <c r="B34">
        <f t="shared" si="17"/>
        <v>256</v>
      </c>
      <c r="C34">
        <v>0</v>
      </c>
      <c r="D34">
        <v>0</v>
      </c>
      <c r="E34">
        <v>0</v>
      </c>
      <c r="F34">
        <v>0</v>
      </c>
      <c r="G34">
        <v>0</v>
      </c>
      <c r="H34">
        <f t="shared" si="16"/>
        <v>0</v>
      </c>
      <c r="I34">
        <f t="shared" si="13"/>
        <v>0</v>
      </c>
      <c r="J34">
        <f t="shared" si="14"/>
        <v>0</v>
      </c>
      <c r="K34">
        <f t="shared" si="15"/>
        <v>0</v>
      </c>
    </row>
    <row r="35" spans="1:16" x14ac:dyDescent="0.2">
      <c r="B35">
        <f t="shared" si="17"/>
        <v>128</v>
      </c>
      <c r="C35">
        <v>0</v>
      </c>
      <c r="D35">
        <v>0</v>
      </c>
      <c r="E35">
        <v>0</v>
      </c>
      <c r="F35">
        <v>0</v>
      </c>
      <c r="G35">
        <v>0</v>
      </c>
      <c r="H35">
        <f t="shared" si="16"/>
        <v>0</v>
      </c>
      <c r="I35">
        <f t="shared" si="13"/>
        <v>0</v>
      </c>
      <c r="J35">
        <f t="shared" si="14"/>
        <v>0</v>
      </c>
      <c r="K35">
        <f t="shared" si="15"/>
        <v>0</v>
      </c>
    </row>
    <row r="36" spans="1:16" x14ac:dyDescent="0.2">
      <c r="B36">
        <f t="shared" si="17"/>
        <v>64</v>
      </c>
      <c r="C36">
        <v>0</v>
      </c>
      <c r="D36">
        <v>0</v>
      </c>
      <c r="E36">
        <v>0</v>
      </c>
      <c r="F36">
        <v>0</v>
      </c>
      <c r="G36">
        <v>0</v>
      </c>
      <c r="H36">
        <f t="shared" si="16"/>
        <v>0</v>
      </c>
      <c r="I36">
        <f t="shared" si="13"/>
        <v>0</v>
      </c>
      <c r="J36">
        <f t="shared" si="14"/>
        <v>0</v>
      </c>
      <c r="K36">
        <f t="shared" si="15"/>
        <v>0</v>
      </c>
    </row>
    <row r="37" spans="1:16" x14ac:dyDescent="0.2">
      <c r="B37">
        <f t="shared" si="17"/>
        <v>32</v>
      </c>
      <c r="C37">
        <v>0</v>
      </c>
      <c r="D37">
        <v>0</v>
      </c>
      <c r="E37">
        <v>0</v>
      </c>
      <c r="F37">
        <v>0</v>
      </c>
      <c r="G37">
        <v>0</v>
      </c>
      <c r="H37">
        <f t="shared" si="16"/>
        <v>0</v>
      </c>
      <c r="I37">
        <f t="shared" si="13"/>
        <v>0</v>
      </c>
      <c r="J37">
        <f t="shared" si="14"/>
        <v>0</v>
      </c>
      <c r="K37">
        <f t="shared" si="15"/>
        <v>0</v>
      </c>
    </row>
    <row r="38" spans="1:16" x14ac:dyDescent="0.2">
      <c r="B38">
        <f t="shared" si="17"/>
        <v>16</v>
      </c>
      <c r="C38">
        <v>0</v>
      </c>
      <c r="D38">
        <v>0</v>
      </c>
      <c r="E38">
        <v>0</v>
      </c>
      <c r="F38">
        <v>0</v>
      </c>
      <c r="G38">
        <v>0</v>
      </c>
      <c r="H38">
        <f t="shared" si="16"/>
        <v>0</v>
      </c>
      <c r="I38">
        <f t="shared" si="13"/>
        <v>0</v>
      </c>
      <c r="J38">
        <f t="shared" si="14"/>
        <v>0</v>
      </c>
      <c r="K38">
        <f t="shared" si="15"/>
        <v>0</v>
      </c>
    </row>
    <row r="39" spans="1:16" x14ac:dyDescent="0.2">
      <c r="B39">
        <f t="shared" si="17"/>
        <v>8</v>
      </c>
      <c r="C39">
        <v>0</v>
      </c>
      <c r="D39">
        <v>0</v>
      </c>
      <c r="E39">
        <v>0</v>
      </c>
      <c r="F39">
        <v>0</v>
      </c>
      <c r="G39">
        <v>0</v>
      </c>
      <c r="H39">
        <f t="shared" si="16"/>
        <v>0</v>
      </c>
      <c r="I39">
        <f t="shared" si="13"/>
        <v>0</v>
      </c>
      <c r="J39">
        <f t="shared" si="14"/>
        <v>0</v>
      </c>
      <c r="K39">
        <f t="shared" si="15"/>
        <v>0</v>
      </c>
    </row>
    <row r="40" spans="1:16" x14ac:dyDescent="0.2">
      <c r="B40">
        <f t="shared" si="17"/>
        <v>4</v>
      </c>
      <c r="C40">
        <v>1</v>
      </c>
      <c r="D40">
        <v>1</v>
      </c>
      <c r="E40">
        <v>1</v>
      </c>
      <c r="F40">
        <v>1</v>
      </c>
      <c r="G40">
        <v>1</v>
      </c>
      <c r="H40">
        <f t="shared" si="16"/>
        <v>0</v>
      </c>
      <c r="I40">
        <f t="shared" si="13"/>
        <v>0</v>
      </c>
      <c r="J40">
        <f t="shared" si="14"/>
        <v>0</v>
      </c>
      <c r="K40">
        <f t="shared" si="15"/>
        <v>0</v>
      </c>
    </row>
    <row r="41" spans="1:16" x14ac:dyDescent="0.2">
      <c r="B41">
        <f t="shared" si="17"/>
        <v>2</v>
      </c>
      <c r="C41">
        <v>4</v>
      </c>
      <c r="D41">
        <v>4</v>
      </c>
      <c r="E41">
        <v>4</v>
      </c>
      <c r="F41">
        <v>2</v>
      </c>
      <c r="G41">
        <v>2</v>
      </c>
      <c r="H41">
        <f t="shared" si="16"/>
        <v>0</v>
      </c>
      <c r="I41">
        <f t="shared" si="13"/>
        <v>0</v>
      </c>
      <c r="J41">
        <f t="shared" si="14"/>
        <v>0</v>
      </c>
      <c r="K41">
        <f t="shared" si="15"/>
        <v>0</v>
      </c>
    </row>
    <row r="42" spans="1:16" x14ac:dyDescent="0.2">
      <c r="H42">
        <f>SUM(H31:H41)+$I$14</f>
        <v>12</v>
      </c>
      <c r="I42">
        <f t="shared" ref="I42:K42" si="18">SUM(I31:I41)+$I$14</f>
        <v>12</v>
      </c>
      <c r="J42">
        <f t="shared" si="18"/>
        <v>12</v>
      </c>
      <c r="K42">
        <f t="shared" si="18"/>
        <v>12</v>
      </c>
    </row>
    <row r="44" spans="1:16" x14ac:dyDescent="0.2">
      <c r="A44" t="s">
        <v>24</v>
      </c>
      <c r="B44" t="s">
        <v>6</v>
      </c>
      <c r="C44" t="s">
        <v>20</v>
      </c>
      <c r="D44" t="s">
        <v>7</v>
      </c>
      <c r="E44" t="s">
        <v>8</v>
      </c>
      <c r="F44" t="s">
        <v>9</v>
      </c>
      <c r="G44" t="s">
        <v>10</v>
      </c>
      <c r="H44" t="s">
        <v>16</v>
      </c>
      <c r="I44" t="s">
        <v>17</v>
      </c>
      <c r="J44" t="s">
        <v>18</v>
      </c>
      <c r="K44" t="s">
        <v>19</v>
      </c>
    </row>
    <row r="45" spans="1:16" x14ac:dyDescent="0.2">
      <c r="B45">
        <v>2048</v>
      </c>
      <c r="C45">
        <v>0</v>
      </c>
      <c r="D45">
        <v>0</v>
      </c>
      <c r="E45">
        <v>0</v>
      </c>
      <c r="F45">
        <v>0</v>
      </c>
      <c r="G45">
        <v>0</v>
      </c>
      <c r="H45">
        <f>IF(D45-$C45&gt;0,D45-$C45,0)*$B45</f>
        <v>0</v>
      </c>
      <c r="I45">
        <f t="shared" ref="I45:I55" si="19">IF(E45-$C45&gt;0,E45-$C45,0)*$B45</f>
        <v>0</v>
      </c>
      <c r="J45">
        <f t="shared" ref="J45:J55" si="20">IF(F45-$C45&gt;0,F45-$C45,0)*$B45</f>
        <v>0</v>
      </c>
      <c r="K45">
        <f t="shared" ref="K45:K55" si="21">IF(G45-$C45&gt;0,G45-$C45,0)*$B45</f>
        <v>0</v>
      </c>
      <c r="M45">
        <v>1</v>
      </c>
    </row>
    <row r="46" spans="1:16" x14ac:dyDescent="0.2">
      <c r="B46">
        <f>B45/2</f>
        <v>1024</v>
      </c>
      <c r="C46">
        <v>0</v>
      </c>
      <c r="D46">
        <v>0</v>
      </c>
      <c r="E46">
        <v>0</v>
      </c>
      <c r="F46">
        <v>0</v>
      </c>
      <c r="G46">
        <v>0</v>
      </c>
      <c r="H46">
        <f t="shared" ref="H46:H55" si="22">IF(D46-$C46&gt;0,D46-$C46,0)*$B46</f>
        <v>0</v>
      </c>
      <c r="I46">
        <f t="shared" si="19"/>
        <v>0</v>
      </c>
      <c r="J46">
        <f t="shared" si="20"/>
        <v>0</v>
      </c>
      <c r="K46">
        <f t="shared" si="21"/>
        <v>0</v>
      </c>
      <c r="O46">
        <v>2</v>
      </c>
    </row>
    <row r="47" spans="1:16" x14ac:dyDescent="0.2">
      <c r="B47">
        <f t="shared" ref="B47:B55" si="23">B46/2</f>
        <v>512</v>
      </c>
      <c r="C47">
        <v>0</v>
      </c>
      <c r="D47">
        <v>0</v>
      </c>
      <c r="E47">
        <v>0</v>
      </c>
      <c r="F47">
        <v>0</v>
      </c>
      <c r="G47">
        <v>0</v>
      </c>
      <c r="H47">
        <f t="shared" si="22"/>
        <v>0</v>
      </c>
      <c r="I47">
        <f t="shared" si="19"/>
        <v>0</v>
      </c>
      <c r="J47">
        <f t="shared" si="20"/>
        <v>0</v>
      </c>
      <c r="K47">
        <f t="shared" si="21"/>
        <v>0</v>
      </c>
      <c r="N47">
        <v>2</v>
      </c>
      <c r="P47">
        <v>4</v>
      </c>
    </row>
    <row r="48" spans="1:16" x14ac:dyDescent="0.2">
      <c r="B48">
        <f t="shared" si="23"/>
        <v>256</v>
      </c>
      <c r="C48">
        <v>0</v>
      </c>
      <c r="D48">
        <v>0</v>
      </c>
      <c r="E48">
        <v>0</v>
      </c>
      <c r="F48">
        <v>0</v>
      </c>
      <c r="G48">
        <v>0</v>
      </c>
      <c r="H48">
        <f t="shared" si="22"/>
        <v>0</v>
      </c>
      <c r="I48">
        <f t="shared" si="19"/>
        <v>0</v>
      </c>
      <c r="J48">
        <f t="shared" si="20"/>
        <v>0</v>
      </c>
      <c r="K48">
        <f t="shared" si="21"/>
        <v>0</v>
      </c>
    </row>
    <row r="49" spans="1:16" x14ac:dyDescent="0.2">
      <c r="B49">
        <f t="shared" si="23"/>
        <v>128</v>
      </c>
      <c r="C49">
        <v>0</v>
      </c>
      <c r="D49">
        <v>0</v>
      </c>
      <c r="E49">
        <v>0</v>
      </c>
      <c r="F49">
        <v>0</v>
      </c>
      <c r="G49">
        <v>0</v>
      </c>
      <c r="H49">
        <f t="shared" si="22"/>
        <v>0</v>
      </c>
      <c r="I49">
        <f t="shared" si="19"/>
        <v>0</v>
      </c>
      <c r="J49">
        <f t="shared" si="20"/>
        <v>0</v>
      </c>
      <c r="K49">
        <f t="shared" si="21"/>
        <v>0</v>
      </c>
    </row>
    <row r="50" spans="1:16" x14ac:dyDescent="0.2">
      <c r="B50">
        <f t="shared" si="23"/>
        <v>64</v>
      </c>
      <c r="C50">
        <v>0</v>
      </c>
      <c r="D50">
        <v>0</v>
      </c>
      <c r="E50">
        <v>0</v>
      </c>
      <c r="F50">
        <v>0</v>
      </c>
      <c r="G50">
        <v>0</v>
      </c>
      <c r="H50">
        <f t="shared" si="22"/>
        <v>0</v>
      </c>
      <c r="I50">
        <f t="shared" si="19"/>
        <v>0</v>
      </c>
      <c r="J50">
        <f t="shared" si="20"/>
        <v>0</v>
      </c>
      <c r="K50">
        <f t="shared" si="21"/>
        <v>0</v>
      </c>
    </row>
    <row r="51" spans="1:16" x14ac:dyDescent="0.2">
      <c r="B51">
        <f t="shared" si="23"/>
        <v>32</v>
      </c>
      <c r="C51">
        <v>0</v>
      </c>
      <c r="D51">
        <v>0</v>
      </c>
      <c r="E51">
        <v>0</v>
      </c>
      <c r="F51">
        <v>0</v>
      </c>
      <c r="G51">
        <v>0</v>
      </c>
      <c r="H51">
        <f t="shared" si="22"/>
        <v>0</v>
      </c>
      <c r="I51">
        <f t="shared" si="19"/>
        <v>0</v>
      </c>
      <c r="J51">
        <f t="shared" si="20"/>
        <v>0</v>
      </c>
      <c r="K51">
        <f t="shared" si="21"/>
        <v>0</v>
      </c>
    </row>
    <row r="52" spans="1:16" x14ac:dyDescent="0.2">
      <c r="B52">
        <f t="shared" si="23"/>
        <v>16</v>
      </c>
      <c r="C52">
        <v>0</v>
      </c>
      <c r="D52">
        <v>0</v>
      </c>
      <c r="E52">
        <v>0</v>
      </c>
      <c r="F52">
        <v>0</v>
      </c>
      <c r="G52">
        <v>0</v>
      </c>
      <c r="H52">
        <f t="shared" si="22"/>
        <v>0</v>
      </c>
      <c r="I52">
        <f t="shared" si="19"/>
        <v>0</v>
      </c>
      <c r="J52">
        <f t="shared" si="20"/>
        <v>0</v>
      </c>
      <c r="K52">
        <f t="shared" si="21"/>
        <v>0</v>
      </c>
    </row>
    <row r="53" spans="1:16" x14ac:dyDescent="0.2">
      <c r="B53">
        <f t="shared" si="23"/>
        <v>8</v>
      </c>
      <c r="C53">
        <v>0</v>
      </c>
      <c r="D53">
        <v>0</v>
      </c>
      <c r="E53">
        <v>0</v>
      </c>
      <c r="F53">
        <v>0</v>
      </c>
      <c r="G53">
        <v>0</v>
      </c>
      <c r="H53">
        <f t="shared" si="22"/>
        <v>0</v>
      </c>
      <c r="I53">
        <f t="shared" si="19"/>
        <v>0</v>
      </c>
      <c r="J53">
        <f t="shared" si="20"/>
        <v>0</v>
      </c>
      <c r="K53">
        <f t="shared" si="21"/>
        <v>0</v>
      </c>
    </row>
    <row r="54" spans="1:16" x14ac:dyDescent="0.2">
      <c r="B54">
        <f t="shared" si="23"/>
        <v>4</v>
      </c>
      <c r="C54">
        <v>1</v>
      </c>
      <c r="D54">
        <v>1</v>
      </c>
      <c r="E54">
        <v>1</v>
      </c>
      <c r="F54">
        <v>1</v>
      </c>
      <c r="G54">
        <v>1</v>
      </c>
      <c r="H54">
        <f t="shared" si="22"/>
        <v>0</v>
      </c>
      <c r="I54">
        <f t="shared" si="19"/>
        <v>0</v>
      </c>
      <c r="J54">
        <f t="shared" si="20"/>
        <v>0</v>
      </c>
      <c r="K54">
        <f t="shared" si="21"/>
        <v>0</v>
      </c>
    </row>
    <row r="55" spans="1:16" x14ac:dyDescent="0.2">
      <c r="B55">
        <f t="shared" si="23"/>
        <v>2</v>
      </c>
      <c r="C55">
        <v>2</v>
      </c>
      <c r="D55">
        <v>2</v>
      </c>
      <c r="E55">
        <v>2</v>
      </c>
      <c r="F55">
        <v>2</v>
      </c>
      <c r="G55">
        <v>2</v>
      </c>
      <c r="H55">
        <f t="shared" si="22"/>
        <v>0</v>
      </c>
      <c r="I55">
        <f t="shared" si="19"/>
        <v>0</v>
      </c>
      <c r="J55">
        <f t="shared" si="20"/>
        <v>0</v>
      </c>
      <c r="K55">
        <f t="shared" si="21"/>
        <v>0</v>
      </c>
    </row>
    <row r="56" spans="1:16" x14ac:dyDescent="0.2">
      <c r="H56">
        <f>SUM(H45:H55)+$J$14</f>
        <v>8</v>
      </c>
      <c r="I56">
        <f t="shared" ref="I56:K56" si="24">SUM(I45:I55)+$J$14</f>
        <v>8</v>
      </c>
      <c r="J56">
        <f t="shared" si="24"/>
        <v>8</v>
      </c>
      <c r="K56">
        <f t="shared" si="24"/>
        <v>8</v>
      </c>
    </row>
    <row r="58" spans="1:16" x14ac:dyDescent="0.2">
      <c r="A58" t="s">
        <v>25</v>
      </c>
      <c r="B58" t="s">
        <v>6</v>
      </c>
      <c r="C58" t="s">
        <v>20</v>
      </c>
      <c r="D58" t="s">
        <v>7</v>
      </c>
      <c r="E58" t="s">
        <v>8</v>
      </c>
      <c r="F58" t="s">
        <v>9</v>
      </c>
      <c r="G58" t="s">
        <v>10</v>
      </c>
      <c r="H58" t="s">
        <v>16</v>
      </c>
      <c r="I58" t="s">
        <v>17</v>
      </c>
      <c r="J58" t="s">
        <v>18</v>
      </c>
      <c r="K58" t="s">
        <v>19</v>
      </c>
      <c r="N58">
        <v>2</v>
      </c>
      <c r="P58">
        <v>4</v>
      </c>
    </row>
    <row r="59" spans="1:16" x14ac:dyDescent="0.2">
      <c r="B59">
        <v>2048</v>
      </c>
      <c r="C59">
        <v>0</v>
      </c>
      <c r="D59">
        <v>0</v>
      </c>
      <c r="E59">
        <v>0</v>
      </c>
      <c r="F59">
        <v>0</v>
      </c>
      <c r="G59">
        <v>0</v>
      </c>
      <c r="H59">
        <f t="shared" ref="H59:H69" si="25">IF(D59-$C59&gt;0,D59-$C59,0)*$B59</f>
        <v>0</v>
      </c>
      <c r="I59">
        <f t="shared" ref="I59:I69" si="26">IF(E59-$C59&gt;0,E59-$C59,0)*$B59</f>
        <v>0</v>
      </c>
      <c r="J59">
        <f t="shared" ref="J59:J69" si="27">IF(F59-$C59&gt;0,F59-$C59,0)*$B59</f>
        <v>0</v>
      </c>
      <c r="K59">
        <f t="shared" ref="K59:K69" si="28">IF(G59-$C59&gt;0,G59-$C59,0)*$B59</f>
        <v>0</v>
      </c>
      <c r="M59">
        <v>1</v>
      </c>
      <c r="O59">
        <v>2</v>
      </c>
    </row>
    <row r="60" spans="1:16" x14ac:dyDescent="0.2">
      <c r="B60">
        <f>B59/2</f>
        <v>1024</v>
      </c>
      <c r="C60">
        <v>0</v>
      </c>
      <c r="D60">
        <v>0</v>
      </c>
      <c r="E60">
        <v>0</v>
      </c>
      <c r="F60">
        <v>0</v>
      </c>
      <c r="G60">
        <v>0</v>
      </c>
      <c r="H60">
        <f t="shared" si="25"/>
        <v>0</v>
      </c>
      <c r="I60">
        <f t="shared" si="26"/>
        <v>0</v>
      </c>
      <c r="J60">
        <f t="shared" si="27"/>
        <v>0</v>
      </c>
      <c r="K60">
        <f t="shared" si="28"/>
        <v>0</v>
      </c>
    </row>
    <row r="61" spans="1:16" x14ac:dyDescent="0.2">
      <c r="B61">
        <f t="shared" ref="B61:B69" si="29">B60/2</f>
        <v>512</v>
      </c>
      <c r="C61">
        <v>0</v>
      </c>
      <c r="D61">
        <v>0</v>
      </c>
      <c r="E61">
        <v>0</v>
      </c>
      <c r="F61">
        <v>0</v>
      </c>
      <c r="G61">
        <v>0</v>
      </c>
      <c r="H61">
        <f t="shared" si="25"/>
        <v>0</v>
      </c>
      <c r="I61">
        <f t="shared" si="26"/>
        <v>0</v>
      </c>
      <c r="J61">
        <f t="shared" si="27"/>
        <v>0</v>
      </c>
      <c r="K61">
        <f t="shared" si="28"/>
        <v>0</v>
      </c>
    </row>
    <row r="62" spans="1:16" x14ac:dyDescent="0.2">
      <c r="B62">
        <f t="shared" si="29"/>
        <v>256</v>
      </c>
      <c r="C62">
        <v>0</v>
      </c>
      <c r="D62">
        <v>0</v>
      </c>
      <c r="E62">
        <v>0</v>
      </c>
      <c r="F62">
        <v>0</v>
      </c>
      <c r="G62">
        <v>0</v>
      </c>
      <c r="H62">
        <f t="shared" si="25"/>
        <v>0</v>
      </c>
      <c r="I62">
        <f t="shared" si="26"/>
        <v>0</v>
      </c>
      <c r="J62">
        <f t="shared" si="27"/>
        <v>0</v>
      </c>
      <c r="K62">
        <f t="shared" si="28"/>
        <v>0</v>
      </c>
    </row>
    <row r="63" spans="1:16" x14ac:dyDescent="0.2">
      <c r="B63">
        <f t="shared" si="29"/>
        <v>128</v>
      </c>
      <c r="C63">
        <v>0</v>
      </c>
      <c r="D63">
        <v>0</v>
      </c>
      <c r="E63">
        <v>0</v>
      </c>
      <c r="F63">
        <v>0</v>
      </c>
      <c r="G63">
        <v>0</v>
      </c>
      <c r="H63">
        <f t="shared" si="25"/>
        <v>0</v>
      </c>
      <c r="I63">
        <f t="shared" si="26"/>
        <v>0</v>
      </c>
      <c r="J63">
        <f t="shared" si="27"/>
        <v>0</v>
      </c>
      <c r="K63">
        <f t="shared" si="28"/>
        <v>0</v>
      </c>
    </row>
    <row r="64" spans="1:16" x14ac:dyDescent="0.2">
      <c r="B64">
        <f t="shared" si="29"/>
        <v>64</v>
      </c>
      <c r="C64">
        <v>0</v>
      </c>
      <c r="D64">
        <v>0</v>
      </c>
      <c r="E64">
        <v>0</v>
      </c>
      <c r="F64">
        <v>0</v>
      </c>
      <c r="G64">
        <v>0</v>
      </c>
      <c r="H64">
        <f t="shared" si="25"/>
        <v>0</v>
      </c>
      <c r="I64">
        <f t="shared" si="26"/>
        <v>0</v>
      </c>
      <c r="J64">
        <f t="shared" si="27"/>
        <v>0</v>
      </c>
      <c r="K64">
        <f t="shared" si="28"/>
        <v>0</v>
      </c>
    </row>
    <row r="65" spans="1:11" x14ac:dyDescent="0.2">
      <c r="B65">
        <f t="shared" si="29"/>
        <v>32</v>
      </c>
      <c r="C65">
        <v>0</v>
      </c>
      <c r="D65">
        <v>0</v>
      </c>
      <c r="E65">
        <v>0</v>
      </c>
      <c r="F65">
        <v>0</v>
      </c>
      <c r="G65">
        <v>0</v>
      </c>
      <c r="H65">
        <f t="shared" si="25"/>
        <v>0</v>
      </c>
      <c r="I65">
        <f t="shared" si="26"/>
        <v>0</v>
      </c>
      <c r="J65">
        <f t="shared" si="27"/>
        <v>0</v>
      </c>
      <c r="K65">
        <f t="shared" si="28"/>
        <v>0</v>
      </c>
    </row>
    <row r="66" spans="1:11" x14ac:dyDescent="0.2">
      <c r="B66">
        <f t="shared" si="29"/>
        <v>16</v>
      </c>
      <c r="C66">
        <v>0</v>
      </c>
      <c r="D66">
        <v>0</v>
      </c>
      <c r="E66">
        <v>0</v>
      </c>
      <c r="F66">
        <v>0</v>
      </c>
      <c r="G66">
        <v>0</v>
      </c>
      <c r="H66">
        <f t="shared" si="25"/>
        <v>0</v>
      </c>
      <c r="I66">
        <f t="shared" si="26"/>
        <v>0</v>
      </c>
      <c r="J66">
        <f t="shared" si="27"/>
        <v>0</v>
      </c>
      <c r="K66">
        <f t="shared" si="28"/>
        <v>0</v>
      </c>
    </row>
    <row r="67" spans="1:11" x14ac:dyDescent="0.2">
      <c r="B67">
        <f t="shared" si="29"/>
        <v>8</v>
      </c>
      <c r="C67">
        <v>0</v>
      </c>
      <c r="D67">
        <v>0</v>
      </c>
      <c r="E67">
        <v>0</v>
      </c>
      <c r="F67">
        <v>0</v>
      </c>
      <c r="G67">
        <v>0</v>
      </c>
      <c r="H67">
        <f t="shared" si="25"/>
        <v>0</v>
      </c>
      <c r="I67">
        <f t="shared" si="26"/>
        <v>0</v>
      </c>
      <c r="J67">
        <f t="shared" si="27"/>
        <v>0</v>
      </c>
      <c r="K67">
        <f t="shared" si="28"/>
        <v>0</v>
      </c>
    </row>
    <row r="68" spans="1:11" x14ac:dyDescent="0.2">
      <c r="B68">
        <f t="shared" si="29"/>
        <v>4</v>
      </c>
      <c r="C68">
        <v>1</v>
      </c>
      <c r="D68">
        <v>1</v>
      </c>
      <c r="E68">
        <v>1</v>
      </c>
      <c r="F68">
        <v>1</v>
      </c>
      <c r="G68">
        <v>1</v>
      </c>
      <c r="H68">
        <f t="shared" si="25"/>
        <v>0</v>
      </c>
      <c r="I68">
        <f t="shared" si="26"/>
        <v>0</v>
      </c>
      <c r="J68">
        <f t="shared" si="27"/>
        <v>0</v>
      </c>
      <c r="K68">
        <f t="shared" si="28"/>
        <v>0</v>
      </c>
    </row>
    <row r="69" spans="1:11" x14ac:dyDescent="0.2">
      <c r="B69">
        <f t="shared" si="29"/>
        <v>2</v>
      </c>
      <c r="C69">
        <v>2</v>
      </c>
      <c r="D69">
        <v>2</v>
      </c>
      <c r="E69">
        <v>2</v>
      </c>
      <c r="F69">
        <v>2</v>
      </c>
      <c r="G69">
        <v>2</v>
      </c>
      <c r="H69">
        <f t="shared" si="25"/>
        <v>0</v>
      </c>
      <c r="I69">
        <f t="shared" si="26"/>
        <v>0</v>
      </c>
      <c r="J69">
        <f t="shared" si="27"/>
        <v>0</v>
      </c>
      <c r="K69">
        <f t="shared" si="28"/>
        <v>0</v>
      </c>
    </row>
    <row r="70" spans="1:11" x14ac:dyDescent="0.2">
      <c r="H70">
        <f>SUM(H59:H69)+$K$14</f>
        <v>8</v>
      </c>
      <c r="I70">
        <f t="shared" ref="I70:K70" si="30">SUM(I59:I69)+$K$14</f>
        <v>8</v>
      </c>
      <c r="J70">
        <f t="shared" si="30"/>
        <v>8</v>
      </c>
      <c r="K70">
        <f t="shared" si="30"/>
        <v>8</v>
      </c>
    </row>
    <row r="71" spans="1:11" x14ac:dyDescent="0.2">
      <c r="B71" t="s">
        <v>26</v>
      </c>
      <c r="C71" t="s">
        <v>27</v>
      </c>
      <c r="D71" t="s">
        <v>28</v>
      </c>
      <c r="E71" t="s">
        <v>29</v>
      </c>
    </row>
    <row r="72" spans="1:11" x14ac:dyDescent="0.2">
      <c r="A72" t="s">
        <v>26</v>
      </c>
      <c r="B72">
        <f>H28</f>
        <v>16</v>
      </c>
      <c r="C72">
        <f>I28</f>
        <v>16</v>
      </c>
      <c r="D72">
        <f>J28</f>
        <v>16</v>
      </c>
      <c r="E72">
        <f>K28</f>
        <v>16</v>
      </c>
    </row>
    <row r="73" spans="1:11" x14ac:dyDescent="0.2">
      <c r="A73" t="s">
        <v>27</v>
      </c>
      <c r="B73">
        <f>H42</f>
        <v>12</v>
      </c>
      <c r="C73">
        <f>I42</f>
        <v>12</v>
      </c>
      <c r="D73">
        <f>J42</f>
        <v>12</v>
      </c>
      <c r="E73">
        <f>K42</f>
        <v>12</v>
      </c>
    </row>
    <row r="74" spans="1:11" x14ac:dyDescent="0.2">
      <c r="A74" t="s">
        <v>28</v>
      </c>
      <c r="B74">
        <f>H56</f>
        <v>8</v>
      </c>
      <c r="C74">
        <f>I56</f>
        <v>8</v>
      </c>
      <c r="D74">
        <f>J56</f>
        <v>8</v>
      </c>
      <c r="E74">
        <f>K56</f>
        <v>8</v>
      </c>
    </row>
    <row r="75" spans="1:11" x14ac:dyDescent="0.2">
      <c r="A75" t="s">
        <v>29</v>
      </c>
      <c r="B75">
        <f>H70</f>
        <v>8</v>
      </c>
      <c r="C75">
        <f>I70</f>
        <v>8</v>
      </c>
      <c r="D75">
        <f>J70</f>
        <v>8</v>
      </c>
      <c r="E75">
        <f>K70</f>
        <v>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Menu</vt:lpstr>
      <vt:lpstr>Board</vt:lpstr>
      <vt:lpstr>Win</vt:lpstr>
      <vt:lpstr>Lose</vt:lpstr>
      <vt:lpstr>Leaderboards</vt:lpstr>
      <vt:lpstr>Helper1</vt:lpstr>
      <vt:lpstr>Helper2</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Sanveer Dhanju</dc:creator>
  <cp:keywords/>
  <dc:description/>
  <cp:lastModifiedBy>Microsoft Office User</cp:lastModifiedBy>
  <dcterms:created xsi:type="dcterms:W3CDTF">2017-11-19T22:35:08Z</dcterms:created>
  <dcterms:modified xsi:type="dcterms:W3CDTF">2018-05-18T07:21:00Z</dcterms:modified>
  <cp:category/>
</cp:coreProperties>
</file>